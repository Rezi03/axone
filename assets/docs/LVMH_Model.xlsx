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ta" sheetId="2" state="visible" r:id="rId4"/>
    <sheet name="Assumptions" sheetId="3" state="visible" r:id="rId5"/>
    <sheet name="Income_Statement" sheetId="4" state="visible" r:id="rId6"/>
    <sheet name="DCF" sheetId="5" state="visible" r:id="rId7"/>
    <sheet name="WACC" sheetId="6" state="visible" r:id="rId8"/>
    <sheet name="Bridge" sheetId="7" state="visible" r:id="rId9"/>
    <sheet name="Sensitivity" sheetId="8" state="visible" r:id="rId10"/>
    <sheet name="Trading_Comps" sheetId="9" state="visible" r:id="rId11"/>
    <sheet name="Precedent_Transactions" sheetId="10" state="visible" r:id="rId12"/>
    <sheet name="Football_Field" sheetId="11" state="visible" r:id="rId13"/>
    <sheet name="Chart_Data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FY26E implied by the 9M-26 actual + Q4-26E build on the DCF tab (columns J:O)</t>
        </r>
      </text>
    </comment>
    <comment ref="B6" authorId="0">
      <text>
        <r>
          <rPr>
            <sz val="10"/>
            <rFont val="Arial"/>
            <family val="2"/>
          </rPr>
          <t xml:space="preserve">FY26E implied by the 9M-26 actual + Q4-26E build on the DCF tab (columns J:O)</t>
        </r>
      </text>
    </comment>
    <comment ref="B7" authorId="0">
      <text>
        <r>
          <rPr>
            <sz val="10"/>
            <rFont val="Arial"/>
            <family val="2"/>
          </rPr>
          <t xml:space="preserve">FY26E implied by the 9M-26 actual + Q4-26E build on the DCF tab (columns J:O)</t>
        </r>
      </text>
    </comment>
    <comment ref="B8" authorId="0">
      <text>
        <r>
          <rPr>
            <sz val="10"/>
            <rFont val="Arial"/>
            <family val="2"/>
          </rPr>
          <t xml:space="preserve">FY26E implied by the 9M-26 actual + Q4-26E build on the DCF tab (columns J:O)</t>
        </r>
      </text>
    </comment>
    <comment ref="B9" authorId="0">
      <text>
        <r>
          <rPr>
            <sz val="10"/>
            <rFont val="Arial"/>
            <family val="2"/>
          </rPr>
          <t xml:space="preserve">FY26E implied by the 9M-26 actual + Q4-26E build on the DCF tab (columns J:O)</t>
        </r>
      </text>
    </comment>
    <comment ref="B10" authorId="0">
      <text>
        <r>
          <rPr>
            <sz val="10"/>
            <rFont val="Arial"/>
            <family val="2"/>
          </rPr>
          <t xml:space="preserve">FY26E implied by the 9M-26 actual + Q4-26E build on the DCF tab (columns J:O)</t>
        </r>
      </text>
    </comment>
    <comment ref="B26" authorId="0">
      <text>
        <r>
          <rPr>
            <sz val="10"/>
            <rFont val="Arial"/>
            <family val="2"/>
          </rPr>
          <t xml:space="preserve">FY26E column = H2-26 only: interim dividend paid 3-Dec-2026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0" authorId="0">
      <text>
        <r>
          <rPr>
            <sz val="10"/>
            <rFont val="Arial"/>
            <family val="2"/>
          </rPr>
          <t xml:space="preserve">Reported net financial debt at 30-Jun-2026</t>
        </r>
      </text>
    </comment>
    <comment ref="C71" authorId="0">
      <text>
        <r>
          <rPr>
            <sz val="10"/>
            <rFont val="Arial"/>
            <family val="2"/>
          </rPr>
          <t xml:space="preserve">H2-26E = FY26E UFCF less H1-26 reported operating FCF</t>
        </r>
      </text>
    </comment>
    <comment ref="M5" authorId="0">
      <text>
        <r>
          <rPr>
            <sz val="10"/>
            <rFont val="Arial"/>
            <family val="2"/>
          </rPr>
          <t xml:space="preserve">Q4-26E reported growth: Q3 organic +6%</t>
        </r>
      </text>
    </comment>
    <comment ref="M6" authorId="0">
      <text>
        <r>
          <rPr>
            <sz val="10"/>
            <rFont val="Arial"/>
            <family val="2"/>
          </rPr>
          <t xml:space="preserve">Q4-26E reported growth: Q3 organic -5%, FX +2%, scope -1%</t>
        </r>
      </text>
    </comment>
    <comment ref="M7" authorId="0">
      <text>
        <r>
          <rPr>
            <sz val="10"/>
            <rFont val="Arial"/>
            <family val="2"/>
          </rPr>
          <t xml:space="preserve">Q4-26E reported growth: Q3 organic +1%</t>
        </r>
      </text>
    </comment>
    <comment ref="M8" authorId="0">
      <text>
        <r>
          <rPr>
            <sz val="10"/>
            <rFont val="Arial"/>
            <family val="2"/>
          </rPr>
          <t xml:space="preserve">Q4-26E reported growth: Q3 organic +6%</t>
        </r>
      </text>
    </comment>
    <comment ref="M9" authorId="0">
      <text>
        <r>
          <rPr>
            <sz val="10"/>
            <rFont val="Arial"/>
            <family val="2"/>
          </rPr>
          <t xml:space="preserve">Q4-26E reported growth: Q3 organic +8%, DFS scope -6%</t>
        </r>
      </text>
    </comment>
    <comment ref="M10" authorId="0">
      <text>
        <r>
          <rPr>
            <sz val="10"/>
            <rFont val="Arial"/>
            <family val="2"/>
          </rPr>
          <t xml:space="preserve">Q4-26E reported growth: flat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3" authorId="0">
      <text>
        <r>
          <rPr>
            <sz val="10"/>
            <rFont val="Arial"/>
            <family val="2"/>
          </rPr>
          <t xml:space="preserve">Net financial debt + purchase commitments + minorities - associates - financial assets (30-Jun-26)</t>
        </r>
      </text>
    </comment>
  </commentList>
</comments>
</file>

<file path=xl/sharedStrings.xml><?xml version="1.0" encoding="utf-8"?>
<sst xmlns="http://schemas.openxmlformats.org/spreadsheetml/2006/main" count="867" uniqueCount="577">
  <si>
    <t xml:space="preserve">LVMH Moet Hennessy Louis Vuitton SE - Equity Research Summary</t>
  </si>
  <si>
    <t xml:space="preserve">Company</t>
  </si>
  <si>
    <t xml:space="preserve">LVMH Moet Hennessy Louis Vuitton SE</t>
  </si>
  <si>
    <t xml:space="preserve">Ticker</t>
  </si>
  <si>
    <t xml:space="preserve">MC FP (Euronext Paris)</t>
  </si>
  <si>
    <t xml:space="preserve">Sector</t>
  </si>
  <si>
    <t xml:space="preserve">Luxury Goods (diversified)</t>
  </si>
  <si>
    <t xml:space="preserve">Pricing date</t>
  </si>
  <si>
    <t xml:space="preserve">Recommendation</t>
  </si>
  <si>
    <t xml:space="preserve">Current price (EUR)</t>
  </si>
  <si>
    <t xml:space="preserve">Target price (EUR, 12-month)</t>
  </si>
  <si>
    <t xml:space="preserve">Upside / (downside)</t>
  </si>
  <si>
    <t xml:space="preserve">TARGET PRICE METHODOLOGY</t>
  </si>
  <si>
    <t xml:space="preserve">EUR / share</t>
  </si>
  <si>
    <t xml:space="preserve">Weight</t>
  </si>
  <si>
    <t xml:space="preserve">DCF (average Gordon / Exit)</t>
  </si>
  <si>
    <t xml:space="preserve">Trading comps - Sum-of-the-parts</t>
  </si>
  <si>
    <t xml:space="preserve">Precedent transactions (scale-relevant median)</t>
  </si>
  <si>
    <t xml:space="preserve">Weights check</t>
  </si>
  <si>
    <t xml:space="preserve">Target price (EUR)</t>
  </si>
  <si>
    <t xml:space="preserve">VALUATION SUMMARY (EUR / share)</t>
  </si>
  <si>
    <t xml:space="preserve">DCF - Gordon</t>
  </si>
  <si>
    <t xml:space="preserve">DCF - Exit</t>
  </si>
  <si>
    <t xml:space="preserve">Trading comps - group EV/EBIT (median)</t>
  </si>
  <si>
    <t xml:space="preserve">Sum-of-the-parts</t>
  </si>
  <si>
    <t xml:space="preserve">Precedent transactions</t>
  </si>
  <si>
    <t xml:space="preserve">52-week low / high</t>
  </si>
  <si>
    <t xml:space="preserve">Analyst consensus (avg / low / high)</t>
  </si>
  <si>
    <t xml:space="preserve">KEY STATISTICS</t>
  </si>
  <si>
    <t xml:space="preserve">Market cap (EUR m)</t>
  </si>
  <si>
    <t xml:space="preserve">Net financial debt, 30-Jun-26 (EUR m)</t>
  </si>
  <si>
    <t xml:space="preserve">Enterprise value incl. minorities (EUR m)</t>
  </si>
  <si>
    <t xml:space="preserve">Diluted shares (m)</t>
  </si>
  <si>
    <t xml:space="preserve">EV / EBIT FY26E</t>
  </si>
  <si>
    <t xml:space="preserve">P/E FY26E</t>
  </si>
  <si>
    <t xml:space="preserve">Dividend yield (FY25 DPS)</t>
  </si>
  <si>
    <t xml:space="preserve">WACC</t>
  </si>
  <si>
    <t xml:space="preserve">Credit rating (S&amp;P / Moody's)</t>
  </si>
  <si>
    <t xml:space="preserve">Disclaimer</t>
  </si>
  <si>
    <t xml:space="preserve">Educational use only - not investment advice. Built on public filings and consensus data as of 27-Oct-2026.</t>
  </si>
  <si>
    <t xml:space="preserve">Colour code</t>
  </si>
  <si>
    <t xml:space="preserve">Blue = hard-coded inputs | Green = links to other tabs | Black = formulas</t>
  </si>
  <si>
    <t xml:space="preserve">field</t>
  </si>
  <si>
    <t xml:space="preserve">value</t>
  </si>
  <si>
    <t xml:space="preserve">unit</t>
  </si>
  <si>
    <t xml:space="preserve">currency</t>
  </si>
  <si>
    <t xml:space="preserve">as_of_date</t>
  </si>
  <si>
    <t xml:space="preserve">source</t>
  </si>
  <si>
    <t xml:space="preserve">auto</t>
  </si>
  <si>
    <t xml:space="preserve">share_price</t>
  </si>
  <si>
    <t xml:space="preserve">per_share</t>
  </si>
  <si>
    <t xml:space="preserve">EUR</t>
  </si>
  <si>
    <t xml:space="preserve">Euronext Paris close 27-Oct-2026 (ABC Bourse)</t>
  </si>
  <si>
    <t xml:space="preserve">Y</t>
  </si>
  <si>
    <t xml:space="preserve">shares_diluted</t>
  </si>
  <si>
    <t xml:space="preserve">million</t>
  </si>
  <si>
    <t xml:space="preserve">LVMH H1-2026 release: diluted weighted average shares 494,957,592</t>
  </si>
  <si>
    <t xml:space="preserve">N</t>
  </si>
  <si>
    <t xml:space="preserve">shares_issued</t>
  </si>
  <si>
    <t xml:space="preserve">AMF notice 226C0219: share capital of 497,686,940 shares</t>
  </si>
  <si>
    <t xml:space="preserve">isin</t>
  </si>
  <si>
    <t xml:space="preserve">FR0000121014</t>
  </si>
  <si>
    <t xml:space="preserve">Euronext</t>
  </si>
  <si>
    <t xml:space="preserve">ticker_bbg</t>
  </si>
  <si>
    <t xml:space="preserve">MC FP</t>
  </si>
  <si>
    <t xml:space="preserve">Bloomberg</t>
  </si>
  <si>
    <t xml:space="preserve">52w_low</t>
  </si>
  <si>
    <t xml:space="preserve">Euronext intraday low 13-Oct-2026 (Boursorama / Investing.com)</t>
  </si>
  <si>
    <t xml:space="preserve">52w_high</t>
  </si>
  <si>
    <t xml:space="preserve">Investing.com 52-week high</t>
  </si>
  <si>
    <t xml:space="preserve">beta_raw</t>
  </si>
  <si>
    <t xml:space="preserve">Lightyear market data (raw beta)</t>
  </si>
  <si>
    <t xml:space="preserve">dps_fy25</t>
  </si>
  <si>
    <t xml:space="preserve">LVMH FY-2025 release (5.50 interim + 7.50 final)</t>
  </si>
  <si>
    <t xml:space="preserve">interim_dps_fy26</t>
  </si>
  <si>
    <t xml:space="preserve">LVMH H1-2026 release, payable 3-Dec-2026</t>
  </si>
  <si>
    <t xml:space="preserve">net_financial_debt</t>
  </si>
  <si>
    <t xml:space="preserve">LVMH H1-2026 release (excl. lease liabilities)</t>
  </si>
  <si>
    <t xml:space="preserve">purchase_commitments_minorities</t>
  </si>
  <si>
    <t xml:space="preserve">H1-2026 balance sheet (incl. Diageo 34% of Moet Hennessy)</t>
  </si>
  <si>
    <t xml:space="preserve">minority_interests</t>
  </si>
  <si>
    <t xml:space="preserve">H1-2026 balance sheet</t>
  </si>
  <si>
    <t xml:space="preserve">investments_jv_associates</t>
  </si>
  <si>
    <t xml:space="preserve">non_current_afs_assets</t>
  </si>
  <si>
    <t xml:space="preserve">H1-2026 balance sheet (non-current available-for-sale financial assets)</t>
  </si>
  <si>
    <t xml:space="preserve">lease_liabilities</t>
  </si>
  <si>
    <t xml:space="preserve">H1-2026 balance sheet (13,509 non-current + 2,752 current) - memo only</t>
  </si>
  <si>
    <t xml:space="preserve">h1_26_operating_fcf</t>
  </si>
  <si>
    <t xml:space="preserve">LVMH H1-2026 release (operating free cash flow)</t>
  </si>
  <si>
    <t xml:space="preserve">risk_free_bund_10y</t>
  </si>
  <si>
    <t xml:space="preserve">%</t>
  </si>
  <si>
    <t xml:space="preserve">German Bund 10Y (Bundesbank via ideal-investisseur.fr)</t>
  </si>
  <si>
    <t xml:space="preserve">oat_10y</t>
  </si>
  <si>
    <t xml:space="preserve">French OAT 10Y (Banque de France) - memo, see WACC note</t>
  </si>
  <si>
    <t xml:space="preserve">erp</t>
  </si>
  <si>
    <t xml:space="preserve">Mature-market ERP + France premium (Damodaran), same as Pernod model</t>
  </si>
  <si>
    <t xml:space="preserve">cost_of_debt_pre_tax</t>
  </si>
  <si>
    <t xml:space="preserve">LVMH EMTN 3.375% due 23-Feb-2036 (lvmh.com debt page)</t>
  </si>
  <si>
    <t xml:space="preserve">credit_rating_sp</t>
  </si>
  <si>
    <t xml:space="preserve">AA-</t>
  </si>
  <si>
    <t xml:space="preserve">lvmh.com - S&amp;P long-term, stable</t>
  </si>
  <si>
    <t xml:space="preserve">credit_rating_moodys</t>
  </si>
  <si>
    <t xml:space="preserve">Aa3</t>
  </si>
  <si>
    <t xml:space="preserve">lvmh.com - Moody's long-term, stable</t>
  </si>
  <si>
    <t xml:space="preserve">consensus_tp_avg</t>
  </si>
  <si>
    <t xml:space="preserve">MarketScreener consensus, 27 analysts</t>
  </si>
  <si>
    <t xml:space="preserve">consensus_tp_low</t>
  </si>
  <si>
    <t xml:space="preserve">MarketScreener - lowest target</t>
  </si>
  <si>
    <t xml:space="preserve">consensus_tp_high</t>
  </si>
  <si>
    <t xml:space="preserve">MarketScreener - highest target</t>
  </si>
  <si>
    <t xml:space="preserve">fx_usd_per_eur</t>
  </si>
  <si>
    <t xml:space="preserve">USD</t>
  </si>
  <si>
    <t xml:space="preserve">Mid-market EUR/USD (currencyconvert.online)</t>
  </si>
  <si>
    <t xml:space="preserve">fx_chf_per_eur</t>
  </si>
  <si>
    <t xml:space="preserve">CHF</t>
  </si>
  <si>
    <t xml:space="preserve">EUR/CHF close (poundsterlinglive) - latest available</t>
  </si>
  <si>
    <t xml:space="preserve">fx_hkd_per_usd</t>
  </si>
  <si>
    <t xml:space="preserve">HKD</t>
  </si>
  <si>
    <t xml:space="preserve">HKD peg (7.75-7.85 band)</t>
  </si>
  <si>
    <t xml:space="preserve">Primary sources</t>
  </si>
  <si>
    <t xml:space="preserve">LVMH FY-2025 results (27-Jan-2026) and Financial Documents 31-Dec-2025 - lvmh.com</t>
  </si>
  <si>
    <t xml:space="preserve">LVMH H1-2026 results (27-Jul-2026) - globenewswire / lvmh.com; Q3-2026 revenue release (12-Oct-2026)</t>
  </si>
  <si>
    <t xml:space="preserve">Peer filings: Hermes FY25, Richemont FY Mar-26, Kering FY25, Prada H1-26, Moncler H1-26, Pernod Ricard FY Jun-26, Diageo FY Jun-26 (SEC 6-K), Ulta Q2 FY26 (SEC 8-K)</t>
  </si>
  <si>
    <t xml:space="preserve">Consensus estimates 2026E: MarketScreener / Zonebourse (Sep-Oct 2026)</t>
  </si>
  <si>
    <t xml:space="preserve">Precedent transactions: Tiffany DEFM14A (SEC, 2020), KPMG Advisory, FT/BeautyMatter, BoF, BSIC</t>
  </si>
  <si>
    <t xml:space="preserve">LVMH - Key Assumptions</t>
  </si>
  <si>
    <t xml:space="preserve">Driver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</si>
  <si>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</si>
  <si>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</si>
  <si>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</si>
  <si>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</si>
  <si>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</si>
  <si>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FY31E</t>
  </si>
  <si>
    <t xml:space="preserve">Rationale / source</t>
  </si>
  <si>
    <t xml:space="preserve">Net sales growth by business group (reported, % YoY)</t>
  </si>
  <si>
    <t xml:space="preserve">Wines &amp; Spirits growth %</t>
  </si>
  <si>
    <t xml:space="preserve">Champagne &amp; cognac trough; 9M-26 organic +5%, depleted US/China trade stock rebuilds slowly</t>
  </si>
  <si>
    <t xml:space="preserve">Fashion &amp; Leather Goods growth %</t>
  </si>
  <si>
    <t xml:space="preserve">Q3-26 organic -5% (China). Creative reset (Dior, Celine, Loewe) assumed to pay from 2028</t>
  </si>
  <si>
    <t xml:space="preserve">Perfumes &amp; Cosmetics growth %</t>
  </si>
  <si>
    <t xml:space="preserve">Prestige fragrance growth, selective distribution; 9M-26 organic +1%</t>
  </si>
  <si>
    <t xml:space="preserve">Watches &amp; Jewelry growth %</t>
  </si>
  <si>
    <t xml:space="preserve">Jewellery-led (Tiffany, Bulgari); 9M-26 organic +8%</t>
  </si>
  <si>
    <t xml:space="preserve">Selective Retailing growth %</t>
  </si>
  <si>
    <t xml:space="preserve">Sephora share gains; 2027 still carries DFS Greater China / airport disposals</t>
  </si>
  <si>
    <t xml:space="preserve">Other activities &amp; eliminations growth %</t>
  </si>
  <si>
    <t xml:space="preserve">Holding, media and eliminations held flat</t>
  </si>
  <si>
    <t xml:space="preserve">Group net sales growth % (memo)</t>
  </si>
  <si>
    <t xml:space="preserve">PRO margin by business group (% of business-group sales)</t>
  </si>
  <si>
    <t xml:space="preserve">Wines &amp; Spirits PRO margin %</t>
  </si>
  <si>
    <t xml:space="preserve">H1-26 22.4%; FY25 19.0%; recovery towards FY24 23.1% as volumes return</t>
  </si>
  <si>
    <t xml:space="preserve">Fashion &amp; Leather Goods PRO margin %</t>
  </si>
  <si>
    <t xml:space="preserve">H1-26 34.1%, H2 dilution from Q3 sales decline; FY23 peak 39.9% not assumed</t>
  </si>
  <si>
    <t xml:space="preserve">Perfumes &amp; Cosmetics PRO margin %</t>
  </si>
  <si>
    <t xml:space="preserve">H1-26 10.7%; FY25 8.9%; gradual operating leverage</t>
  </si>
  <si>
    <t xml:space="preserve">Watches &amp; Jewelry PRO margin %</t>
  </si>
  <si>
    <t xml:space="preserve">H1-26 15.9%; Tiffany renovation capex rolls off; FY23 19.8%</t>
  </si>
  <si>
    <t xml:space="preserve">Selective Retailing PRO margin %</t>
  </si>
  <si>
    <t xml:space="preserve">H1-26 10.6%; DFS restructuring done, Sephora scale</t>
  </si>
  <si>
    <t xml:space="preserve">Other activities &amp; eliminations PRO (EUR m)</t>
  </si>
  <si>
    <t xml:space="preserve">FY25 -491, H1-26 -228 (holding costs, media)</t>
  </si>
  <si>
    <t xml:space="preserve">Cash flow drivers (% of group net sales)</t>
  </si>
  <si>
    <t xml:space="preserve">D&amp;A excl. right-of-use %</t>
  </si>
  <si>
    <t xml:space="preserve">FY25 6.0%, FY24 5.4%, FY23 4.8% (incl. provisions)</t>
  </si>
  <si>
    <t xml:space="preserve">Capex %</t>
  </si>
  <si>
    <t xml:space="preserve">FY25 5.7%, H1-26 5.3%; normalises for store renovations</t>
  </si>
  <si>
    <t xml:space="preserve">Change in NWC % (negative = cash outflow)</t>
  </si>
  <si>
    <t xml:space="preserve">FY25 -0.7%, FY24 -2.3%; inventory discipline assumed</t>
  </si>
  <si>
    <t xml:space="preserve">Net lease cost % (lease cash out - ROU dep.)</t>
  </si>
  <si>
    <t xml:space="preserve">FY25 0.47% of sales; keeps the DCF on a pre-IFRS 16 basis</t>
  </si>
  <si>
    <t xml:space="preserve">Tax rate on PRO %</t>
  </si>
  <si>
    <t xml:space="preserve">FY25 ETR 32.8% incl. French surtax; surtax assumed to lapse after 2026</t>
  </si>
  <si>
    <t xml:space="preserve">Capital return &amp; financing (net debt roll-forward)</t>
  </si>
  <si>
    <t xml:space="preserve">Dividend paid in the year (EUR / share)</t>
  </si>
  <si>
    <t xml:space="preserve">FY26E = H2 interim only; then final + interim, flat-to-rising payout</t>
  </si>
  <si>
    <t xml:space="preserve">Buybacks, minority buy-outs &amp; M&amp;A (EUR m)</t>
  </si>
  <si>
    <t xml:space="preserve">FY25: 1,634 equity-related + 1,091 minorities; H2-26E only in FY26E column</t>
  </si>
  <si>
    <t xml:space="preserve">Net interest paid after tax (EUR m)</t>
  </si>
  <si>
    <t xml:space="preserve">FY25 cost of net financial debt 348 pre-tax</t>
  </si>
  <si>
    <t xml:space="preserve">Terminal value</t>
  </si>
  <si>
    <t xml:space="preserve">Perpetuity growth rate g %</t>
  </si>
  <si>
    <t xml:space="preserve">Long-run nominal growth of global luxury demand (real ~1% + inflation ~1.5-2%)</t>
  </si>
  <si>
    <t xml:space="preserve">Exit EV/EBITDA multiple (pre-IFRS 16)</t>
  </si>
  <si>
    <t xml:space="preserve">Modest re-rating from ~9.6x today, well below the ~15x 10-year average; implied g ~2.9% vs 2.5% Gordon</t>
  </si>
  <si>
    <t xml:space="preserve">FY26E P&amp;L items below PRO (for EPS / P/E)</t>
  </si>
  <si>
    <t xml:space="preserve">Other operating income &amp; expenses FY26E (EUR m)</t>
  </si>
  <si>
    <t xml:space="preserve">H1-26 +23; FY25 -656 (restructuring, impairments)</t>
  </si>
  <si>
    <t xml:space="preserve">Net financial income / (expense) FY26E (EUR m)</t>
  </si>
  <si>
    <t xml:space="preserve">H1-26 -112 incl. +341 other financial income; FY25 -401</t>
  </si>
  <si>
    <t xml:space="preserve">Minority interests FY26E (EUR m)</t>
  </si>
  <si>
    <t xml:space="preserve">H1-26 -322; FY25 -344</t>
  </si>
  <si>
    <t xml:space="preserve">Blue = hard-coded input (edit these). Green = link to another tab. Black = formula. Grey fill = key scenario levers.</t>
  </si>
  <si>
    <t xml:space="preserve">LVMH - Consolidated Income Statement (EUR m, FYE 31 December)</t>
  </si>
  <si>
    <t xml:space="preserve">EUR millions</t>
  </si>
  <si>
    <t xml:space="preserve">FY23A</t>
  </si>
  <si>
    <t xml:space="preserve">FY24A</t>
  </si>
  <si>
    <t xml:space="preserve">FY25A</t>
  </si>
  <si>
    <t xml:space="preserve">H1-25A</t>
  </si>
  <si>
    <t xml:space="preserve">H1-26A</t>
  </si>
  <si>
    <t xml:space="preserve">Revenue</t>
  </si>
  <si>
    <t xml:space="preserve">Cost of sales</t>
  </si>
  <si>
    <t xml:space="preserve">Gross margin</t>
  </si>
  <si>
    <t xml:space="preserve">Marketing &amp; selling expenses</t>
  </si>
  <si>
    <t xml:space="preserve">General &amp; administrative expenses</t>
  </si>
  <si>
    <t xml:space="preserve">Income from joint ventures &amp; associates</t>
  </si>
  <si>
    <t xml:space="preserve">Profit from recurring operations (PRO)</t>
  </si>
  <si>
    <t xml:space="preserve">Other operating income &amp; expenses</t>
  </si>
  <si>
    <t xml:space="preserve">Operating profit</t>
  </si>
  <si>
    <t xml:space="preserve">Cost of net financial debt</t>
  </si>
  <si>
    <t xml:space="preserve">Interest on lease liabilities</t>
  </si>
  <si>
    <t xml:space="preserve">Other financial income &amp; expenses</t>
  </si>
  <si>
    <t xml:space="preserve">Net financial income / (expense)</t>
  </si>
  <si>
    <t xml:space="preserve">Income taxes</t>
  </si>
  <si>
    <t xml:space="preserve">Net profit</t>
  </si>
  <si>
    <t xml:space="preserve">Minority interests</t>
  </si>
  <si>
    <t xml:space="preserve">Net profit, Group share</t>
  </si>
  <si>
    <t xml:space="preserve">Diluted shares (m, weighted average)</t>
  </si>
  <si>
    <t xml:space="preserve">Diluted EPS (EUR)</t>
  </si>
  <si>
    <t xml:space="preserve">Cash flow &amp; lease items</t>
  </si>
  <si>
    <t xml:space="preserve">D&amp;A and provisions (excl. right-of-use)</t>
  </si>
  <si>
    <t xml:space="preserve">Depreciation of right-of-use assets</t>
  </si>
  <si>
    <t xml:space="preserve">Repayment of lease liabilities</t>
  </si>
  <si>
    <t xml:space="preserve">Lease interest paid (H1: P&amp;L charge)</t>
  </si>
  <si>
    <t xml:space="preserve">H1 columns use the P&amp;L lease interest charge</t>
  </si>
  <si>
    <t xml:space="preserve">Operating investments (capex)</t>
  </si>
  <si>
    <t xml:space="preserve">Change in working capital</t>
  </si>
  <si>
    <t xml:space="preserve">H1 change in WC not disclosed in release</t>
  </si>
  <si>
    <t xml:space="preserve">Operating free cash flow (reported)</t>
  </si>
  <si>
    <t xml:space="preserve">Net financial debt (period-end)</t>
  </si>
  <si>
    <t xml:space="preserve">Key metrics</t>
  </si>
  <si>
    <t xml:space="preserve">Revenue growth (reported)</t>
  </si>
  <si>
    <t xml:space="preserve">Gross margin %</t>
  </si>
  <si>
    <t xml:space="preserve">PRO margin %</t>
  </si>
  <si>
    <t xml:space="preserve">Net lease cost (lease cash out - ROU depreciation)</t>
  </si>
  <si>
    <t xml:space="preserve">EBITDA, pre-IFRS 16 basis (PRO + D&amp;A - net lease cost)</t>
  </si>
  <si>
    <t xml:space="preserve">EBITDA margin %</t>
  </si>
  <si>
    <t xml:space="preserve">Effective tax rate %</t>
  </si>
  <si>
    <t xml:space="preserve">Net financial debt / EBITDA (x)</t>
  </si>
  <si>
    <t xml:space="preserve">Revenue by business group (EUR m)</t>
  </si>
  <si>
    <t xml:space="preserve">Wines &amp; Spirits</t>
  </si>
  <si>
    <t xml:space="preserve">Fashion &amp; Leather Goods</t>
  </si>
  <si>
    <t xml:space="preserve">Perfumes &amp; Cosmetics</t>
  </si>
  <si>
    <t xml:space="preserve">Watches &amp; Jewelry</t>
  </si>
  <si>
    <t xml:space="preserve">Selective Retailing</t>
  </si>
  <si>
    <t xml:space="preserve">Other activities &amp; eliminations</t>
  </si>
  <si>
    <t xml:space="preserve">Total revenue</t>
  </si>
  <si>
    <t xml:space="preserve">Check vs consolidated revenue (+/-1 = rounding in LVMH tables)</t>
  </si>
  <si>
    <t xml:space="preserve">Profit from recurring operations by business group (EUR m)</t>
  </si>
  <si>
    <t xml:space="preserve">Total PRO</t>
  </si>
  <si>
    <t xml:space="preserve">Check vs consolidated PRO (+/-1 = rounding in LVMH tables)</t>
  </si>
  <si>
    <t xml:space="preserve">PRO margin by business group</t>
  </si>
  <si>
    <t xml:space="preserve">Group</t>
  </si>
  <si>
    <t xml:space="preserve">Source: LVMH FY-2023/2024/2025 results and Financial Documents; H1-2025 and H1-2026 half-year releases. Blue = reported figures, black = formulas.</t>
  </si>
  <si>
    <t xml:space="preserve">LVMH - DCF Model (valuation at 31-Dec-2026, EUR m)</t>
  </si>
  <si>
    <t xml:space="preserve">EUR m</t>
  </si>
  <si>
    <t xml:space="preserve">Net sales by business group</t>
  </si>
  <si>
    <t xml:space="preserve">FY26E build</t>
  </si>
  <si>
    <t xml:space="preserve">9M-26A</t>
  </si>
  <si>
    <t xml:space="preserve">Q4-25A</t>
  </si>
  <si>
    <t xml:space="preserve">Q4-26E growth</t>
  </si>
  <si>
    <t xml:space="preserve">Q4-26E</t>
  </si>
  <si>
    <t xml:space="preserve">W&amp;S</t>
  </si>
  <si>
    <t xml:space="preserve">F&amp;LG</t>
  </si>
  <si>
    <t xml:space="preserve">P&amp;C</t>
  </si>
  <si>
    <t xml:space="preserve">W&amp;J</t>
  </si>
  <si>
    <t xml:space="preserve">SR</t>
  </si>
  <si>
    <t xml:space="preserve">Other</t>
  </si>
  <si>
    <t xml:space="preserve">Total net sales</t>
  </si>
  <si>
    <t xml:space="preserve">Total</t>
  </si>
  <si>
    <t xml:space="preserve">Growth % (reported)</t>
  </si>
  <si>
    <t xml:space="preserve">Source: LVMH Q3-2026 revenue release (9M-26 = 57,148), FY-2025 quarterly table (Q4-25 = 22,717)</t>
  </si>
  <si>
    <t xml:space="preserve">Profit from recurring operations (PRO) by business group</t>
  </si>
  <si>
    <t xml:space="preserve">Group PRO (EBIT)</t>
  </si>
  <si>
    <t xml:space="preserve">Unlevered free cash flow (pre-IFRS 16 basis: lease payments treated as operating costs)</t>
  </si>
  <si>
    <t xml:space="preserve">PRO (EBIT)</t>
  </si>
  <si>
    <t xml:space="preserve">(-) Taxes on PRO</t>
  </si>
  <si>
    <t xml:space="preserve">NOPAT</t>
  </si>
  <si>
    <t xml:space="preserve">(+) D&amp;A excl. right-of-use</t>
  </si>
  <si>
    <t xml:space="preserve">(-) Capex</t>
  </si>
  <si>
    <t xml:space="preserve">(+/-) Change in NWC</t>
  </si>
  <si>
    <t xml:space="preserve">(-) Net lease cost</t>
  </si>
  <si>
    <t xml:space="preserve">Unlevered FCF</t>
  </si>
  <si>
    <t xml:space="preserve">Cash conversion (UFCF / NOPAT)</t>
  </si>
  <si>
    <t xml:space="preserve">EBITDA, pre-IFRS 16 (PRO + D&amp;A - net lease cost)</t>
  </si>
  <si>
    <t xml:space="preserve">Discount period (years from 31-Dec-2026)</t>
  </si>
  <si>
    <t xml:space="preserve">base</t>
  </si>
  <si>
    <t xml:space="preserve">Discount factor</t>
  </si>
  <si>
    <t xml:space="preserve">PV of FCF</t>
  </si>
  <si>
    <t xml:space="preserve">PV of explicit FCF (FY27E-FY31E)</t>
  </si>
  <si>
    <t xml:space="preserve">Terminal value (Gordon growth)</t>
  </si>
  <si>
    <t xml:space="preserve">EBITDA FY31E (pre-IFRS 16)</t>
  </si>
  <si>
    <t xml:space="preserve">Terminal value (exit multiple)</t>
  </si>
  <si>
    <t xml:space="preserve">PV of terminal value (Gordon)</t>
  </si>
  <si>
    <t xml:space="preserve">PV of terminal value (exit)</t>
  </si>
  <si>
    <t xml:space="preserve">Enterprise value (Gordon)</t>
  </si>
  <si>
    <t xml:space="preserve">Enterprise value (Exit)</t>
  </si>
  <si>
    <t xml:space="preserve">Terminal value as % of EV (Gordon)</t>
  </si>
  <si>
    <t xml:space="preserve">Implied exit EV/EBITDA from Gordon TV</t>
  </si>
  <si>
    <t xml:space="preserve">Implied perpetual growth from exit TV</t>
  </si>
  <si>
    <t xml:space="preserve">Memo - FY26E net income and EPS (Axone estimate)</t>
  </si>
  <si>
    <t xml:space="preserve">PRO FY26E</t>
  </si>
  <si>
    <t xml:space="preserve">Net profit, Group share FY26E</t>
  </si>
  <si>
    <t xml:space="preserve">EPS FY26E (EUR)</t>
  </si>
  <si>
    <t xml:space="preserve">Chart data</t>
  </si>
  <si>
    <t xml:space="preserve">Year</t>
  </si>
  <si>
    <t xml:space="preserve">PRO</t>
  </si>
  <si>
    <t xml:space="preserve">PRO margin</t>
  </si>
  <si>
    <t xml:space="preserve">Net financial debt roll-forward (EUR m)</t>
  </si>
  <si>
    <t xml:space="preserve">Period</t>
  </si>
  <si>
    <t xml:space="preserve">H2-26E</t>
  </si>
  <si>
    <t xml:space="preserve">Net financial debt (opening)</t>
  </si>
  <si>
    <t xml:space="preserve">(-) Unlevered FCF</t>
  </si>
  <si>
    <t xml:space="preserve">(+) Net interest paid after tax</t>
  </si>
  <si>
    <t xml:space="preserve">(+) Dividends paid</t>
  </si>
  <si>
    <t xml:space="preserve">(+) Buybacks, minority buy-outs &amp; M&amp;A</t>
  </si>
  <si>
    <t xml:space="preserve">Net financial debt (closing)</t>
  </si>
  <si>
    <t xml:space="preserve">EBITDA, pre-IFRS 16 (full year)</t>
  </si>
  <si>
    <t xml:space="preserve">Net financial debt / EBITDA</t>
  </si>
  <si>
    <t xml:space="preserve">Net financial debt at 31-Dec-2026E used in the EV-to-equity bridge = C75. Lease liabilities are not deducted because lease payments are already charged in the FCF (pre-IFRS 16 basis).</t>
  </si>
  <si>
    <t xml:space="preserve">LVMH - WACC Model</t>
  </si>
  <si>
    <t xml:space="preserve">Label</t>
  </si>
  <si>
    <t xml:space="preserve">Value</t>
  </si>
  <si>
    <t xml:space="preserve">Comment</t>
  </si>
  <si>
    <t xml:space="preserve">Cost of equity</t>
  </si>
  <si>
    <t xml:space="preserve">Risk-free rate (10Y Bund)</t>
  </si>
  <si>
    <t xml:space="preserve">Bund used: LVMH (AA-) borrows below the French sovereign (OAT 4.93%)</t>
  </si>
  <si>
    <t xml:space="preserve">Equity risk premium (ERP)</t>
  </si>
  <si>
    <t xml:space="preserve">Same ERP as the Pernod Ricard model</t>
  </si>
  <si>
    <t xml:space="preserve">Beta (Blume-adjusted)</t>
  </si>
  <si>
    <t xml:space="preserve">0.67 x raw beta 0.86 + 0.33</t>
  </si>
  <si>
    <t xml:space="preserve">Cost of equity (Ke)</t>
  </si>
  <si>
    <t xml:space="preserve">CAPM</t>
  </si>
  <si>
    <t xml:space="preserve">Cost of debt</t>
  </si>
  <si>
    <t xml:space="preserve">Pre-tax cost of debt (Kd)</t>
  </si>
  <si>
    <t xml:space="preserve">Coupon of the latest 10-year EMTN (Feb-2036)</t>
  </si>
  <si>
    <t xml:space="preserve">Tax rate</t>
  </si>
  <si>
    <t xml:space="preserve">Normalised rate from FY27E</t>
  </si>
  <si>
    <t xml:space="preserve">After-tax cost of debt</t>
  </si>
  <si>
    <t xml:space="preserve">Capital structure</t>
  </si>
  <si>
    <t xml:space="preserve">Share price (EUR)</t>
  </si>
  <si>
    <t xml:space="preserve">Close 27-Oct-2026</t>
  </si>
  <si>
    <t xml:space="preserve">Market cap (E)</t>
  </si>
  <si>
    <t xml:space="preserve">Net financial debt (D)</t>
  </si>
  <si>
    <t xml:space="preserve">30-Jun-2026, excl. leases</t>
  </si>
  <si>
    <t xml:space="preserve">Total capital (V)</t>
  </si>
  <si>
    <t xml:space="preserve">Equity weight (E/V)</t>
  </si>
  <si>
    <t xml:space="preserve">Debt weight (D/V)</t>
  </si>
  <si>
    <t xml:space="preserve">Memo - WACC with the French OAT as risk-free rate</t>
  </si>
  <si>
    <t xml:space="preserve">OAT 10Y</t>
  </si>
  <si>
    <t xml:space="preserve">WACC using OAT</t>
  </si>
  <si>
    <t xml:space="preserve">Shown for transparency; the OAT now embeds a ~156bp French sovereign spread over the Bund</t>
  </si>
  <si>
    <t xml:space="preserve">LVMH - EV to Equity Bridge (31-Dec-2026E)</t>
  </si>
  <si>
    <t xml:space="preserve">Gordon Growth</t>
  </si>
  <si>
    <t xml:space="preserve">Exit Multiple</t>
  </si>
  <si>
    <t xml:space="preserve">Enterprise value</t>
  </si>
  <si>
    <t xml:space="preserve">(-) Net financial debt (31-Dec-26E)</t>
  </si>
  <si>
    <t xml:space="preserve">(-) Purchase commitments for minority interests</t>
  </si>
  <si>
    <t xml:space="preserve">(-) Minority interests</t>
  </si>
  <si>
    <t xml:space="preserve">(+) Investments in JV &amp; associates</t>
  </si>
  <si>
    <t xml:space="preserve">(+) Non-current financial assets</t>
  </si>
  <si>
    <t xml:space="preserve">Equity value</t>
  </si>
  <si>
    <t xml:space="preserve">Implied value per share (EUR)</t>
  </si>
  <si>
    <t xml:space="preserve">Current share price (EUR)</t>
  </si>
  <si>
    <t xml:space="preserve">Implied upside / (downside)</t>
  </si>
  <si>
    <t xml:space="preserve">Memo: lease liabilities (not deducted, see DCF note)</t>
  </si>
  <si>
    <t xml:space="preserve">LVMH - DCF Sensitivity (EUR per share)</t>
  </si>
  <si>
    <t xml:space="preserve">Implied value per share (EUR) - Gordon</t>
  </si>
  <si>
    <t xml:space="preserve">Perpetuity growth (g) -&gt;</t>
  </si>
  <si>
    <t xml:space="preserve">WACC \ g</t>
  </si>
  <si>
    <t xml:space="preserve">Implied value per share (EUR) - Exit multiple</t>
  </si>
  <si>
    <t xml:space="preserve">Exit EV/EBITDA -&gt;</t>
  </si>
  <si>
    <t xml:space="preserve">WACC \ x</t>
  </si>
  <si>
    <t xml:space="preserve">Check: base cells E8 / E18 equal Bridge!B12 / C12 (difference should be 0)</t>
  </si>
  <si>
    <t xml:space="preserve">LVMH - Trading Comparables and Sum-of-the-Parts (2026E)</t>
  </si>
  <si>
    <t xml:space="preserve">Segment reference</t>
  </si>
  <si>
    <t xml:space="preserve">Share price (local)</t>
  </si>
  <si>
    <t xml:space="preserve">Ccy</t>
  </si>
  <si>
    <t xml:space="preserve">FX (EUR per 1 local)</t>
  </si>
  <si>
    <t xml:space="preserve">Shares (m)</t>
  </si>
  <si>
    <t xml:space="preserve">Net debt / (cash) (EUR m)</t>
  </si>
  <si>
    <t xml:space="preserve">EV (EUR m)</t>
  </si>
  <si>
    <t xml:space="preserve">Revenue 26E (EUR m)</t>
  </si>
  <si>
    <t xml:space="preserve">EBIT 26E (EUR m)</t>
  </si>
  <si>
    <t xml:space="preserve">Net income 26E (EUR m)</t>
  </si>
  <si>
    <t xml:space="preserve">EV/EBIT</t>
  </si>
  <si>
    <t xml:space="preserve">EV/Sales</t>
  </si>
  <si>
    <t xml:space="preserve">P/E</t>
  </si>
  <si>
    <t xml:space="preserve">Basis &amp; source</t>
  </si>
  <si>
    <t xml:space="preserve">Hermes</t>
  </si>
  <si>
    <t xml:space="preserve">Luxury core / F&amp;LG</t>
  </si>
  <si>
    <t xml:space="preserve">Price ~26-Oct-26 (Zonebourse). Net cash Dec-25 (restated). 2026E: Zonebourse consensus</t>
  </si>
  <si>
    <t xml:space="preserve">Richemont</t>
  </si>
  <si>
    <t xml:space="preserve">Luxury core / W&amp;J</t>
  </si>
  <si>
    <t xml:space="preserve">Price ~26-Oct-26. A-share equivalent (537.6m A + 522m B/10). Net cash Mar-26. FY Mar-27E consensus</t>
  </si>
  <si>
    <t xml:space="preserve">Kering</t>
  </si>
  <si>
    <t xml:space="preserve">Price ~26-Oct-26 (post Q3 -11%). Net debt and 2026E: Zonebourse consensus</t>
  </si>
  <si>
    <t xml:space="preserve">Prada</t>
  </si>
  <si>
    <t xml:space="preserve">Price Oct-26 (Simply Wall St). Net debt Jun-26 (H1 release). 2026E: Zonebourse consensus</t>
  </si>
  <si>
    <t xml:space="preserve">Moncler</t>
  </si>
  <si>
    <t xml:space="preserve">Price ~26-Oct-26. Net cash Jun-26 excl. leases (H1 release). 2026E: Zonebourse consensus</t>
  </si>
  <si>
    <t xml:space="preserve">Pernod Ricard</t>
  </si>
  <si>
    <t xml:space="preserve">W&amp;S reference</t>
  </si>
  <si>
    <t xml:space="preserve">Price 16-Oct-26. FY Jun-26A: sales, ROC, recurring net income, net debt (FY results 27-Aug-26)</t>
  </si>
  <si>
    <t xml:space="preserve">Diageo</t>
  </si>
  <si>
    <t xml:space="preserve">ADR price Oct-26 (stockanalysis). ADR-equivalent shares (2,222m ord / 4). FY Jun-26A pre-exceptional</t>
  </si>
  <si>
    <t xml:space="preserve">L'Oreal</t>
  </si>
  <si>
    <t xml:space="preserve">P&amp;C reference</t>
  </si>
  <si>
    <t xml:space="preserve">Price Oct-26 (Zonebourse). 2026E consensus; net debt incl. Kering Beaute acquisition</t>
  </si>
  <si>
    <t xml:space="preserve">Ulta Beauty</t>
  </si>
  <si>
    <t xml:space="preserve">SR reference</t>
  </si>
  <si>
    <t xml:space="preserve">Price 5-Oct-26 (Google Finance). Net debt Aug-26 (8-K). FY Jan-27E from guidance midpoint</t>
  </si>
  <si>
    <t xml:space="preserve">LVMH (self)</t>
  </si>
  <si>
    <t xml:space="preserve">Axone estimates</t>
  </si>
  <si>
    <t xml:space="preserve">Axone FY26E (DCF tab); EV includes minorities and purchase commitments</t>
  </si>
  <si>
    <t xml:space="preserve">Median (core luxury peers)</t>
  </si>
  <si>
    <t xml:space="preserve">Mean (core luxury peers)</t>
  </si>
  <si>
    <t xml:space="preserve">Q1 (core luxury peers)</t>
  </si>
  <si>
    <t xml:space="preserve">Q3 (core luxury peers)</t>
  </si>
  <si>
    <t xml:space="preserve">LVMH premium / (discount) to core median</t>
  </si>
  <si>
    <t xml:space="preserve">Implied value - group EV/EBIT (core luxury median)</t>
  </si>
  <si>
    <t xml:space="preserve">LVMH PRO 2026E (EUR m)</t>
  </si>
  <si>
    <t xml:space="preserve">Applied EV/EBIT (median)</t>
  </si>
  <si>
    <t xml:space="preserve">Implied EV (EUR m)</t>
  </si>
  <si>
    <t xml:space="preserve">(-) Net debt &amp; minorities, (+) associates &amp; financial assets (30-Jun-26)</t>
  </si>
  <si>
    <t xml:space="preserve">Implied equity value (EUR m)</t>
  </si>
  <si>
    <t xml:space="preserve">Implied value - Q1 multiple (EUR)</t>
  </si>
  <si>
    <t xml:space="preserve">Implied value - Q3 multiple (EUR)</t>
  </si>
  <si>
    <t xml:space="preserve">Sum-of-the-parts - EV/EBIT 2026E by business group (35% leg of the target price)</t>
  </si>
  <si>
    <t xml:space="preserve">Business group</t>
  </si>
  <si>
    <t xml:space="preserve">Peer reference</t>
  </si>
  <si>
    <t xml:space="preserve">PRO 26E (EUR m)</t>
  </si>
  <si>
    <t xml:space="preserve">Peer EV/EBIT</t>
  </si>
  <si>
    <t xml:space="preserve">Premium / (discount)</t>
  </si>
  <si>
    <t xml:space="preserve">Applied multiple</t>
  </si>
  <si>
    <t xml:space="preserve">% of EV</t>
  </si>
  <si>
    <t xml:space="preserve">Rationale</t>
  </si>
  <si>
    <t xml:space="preserve">Pernod Ricard, Diageo</t>
  </si>
  <si>
    <t xml:space="preserve">Pure spirits peers, both at cyclical lows</t>
  </si>
  <si>
    <t xml:space="preserve">Hermes, Kering, Prada, Moncler</t>
  </si>
  <si>
    <t xml:space="preserve">Louis Vuitton and Dior are the two largest luxury brands; no discount</t>
  </si>
  <si>
    <t xml:space="preserve">LVMH P&amp;C margin (~10%) is half L'Oreal's; prestige-only exposure</t>
  </si>
  <si>
    <t xml:space="preserve">Margin ~15% vs Richemont Jewellery Maisons 30.5%; Tiffany still in turnaround</t>
  </si>
  <si>
    <t xml:space="preserve">Sephora is best-in-class but DFS travel retail drags</t>
  </si>
  <si>
    <t xml:space="preserve">Capitalised at the weighted multiple</t>
  </si>
  <si>
    <t xml:space="preserve">Holding costs reduce value at the group's blended multiple</t>
  </si>
  <si>
    <t xml:space="preserve">Total enterprise value</t>
  </si>
  <si>
    <t xml:space="preserve">SOTP equity value (EUR m)</t>
  </si>
  <si>
    <t xml:space="preserve">SOTP value per share (EUR)</t>
  </si>
  <si>
    <t xml:space="preserve">SOTP - low (all multiples -1.0x)</t>
  </si>
  <si>
    <t xml:space="preserve">SOTP - high (all multiples +1.0x)</t>
  </si>
  <si>
    <t xml:space="preserve">Market-implied conglomerate discount (current EV vs SOTP EV)</t>
  </si>
  <si>
    <t xml:space="preserve">USD-reporting peers - inputs in USD m (converted above at EUR/USD on the Data tab)</t>
  </si>
  <si>
    <t xml:space="preserve">Net debt ($m)</t>
  </si>
  <si>
    <t xml:space="preserve">Revenue ($m)</t>
  </si>
  <si>
    <t xml:space="preserve">EBIT ($m)</t>
  </si>
  <si>
    <t xml:space="preserve">Net income ($m)</t>
  </si>
  <si>
    <t xml:space="preserve">Basis</t>
  </si>
  <si>
    <t xml:space="preserve">FY Jun-26A: net debt $20.5bn; net sales $19,643m; op. profit pre-exceptional 28.9% margin; EPS pre-exc. 165.3c x 2,224m shares</t>
  </si>
  <si>
    <t xml:space="preserve">Net debt = ST debt 339.6 - cash &amp; ST investments 213.5 (1-Aug-26). FY Jan-27E: sales +7.0% on 11,210; EPS guide 28.85 x ~43.3m shares; EBIT at 24% tax</t>
  </si>
  <si>
    <t xml:space="preserve">Core luxury peers (rows 4-8) set the group multiple. Rows 9-12 are single-segment references used only in the SOTP. EBIT = reported recurring operating income (post IFRS 16); net debt excludes lease liabilities.</t>
  </si>
  <si>
    <t xml:space="preserve">LVMH - Precedent Transactions (luxury)</t>
  </si>
  <si>
    <t xml:space="preserve">Date</t>
  </si>
  <si>
    <t xml:space="preserve">Acquirer</t>
  </si>
  <si>
    <t xml:space="preserve">Target</t>
  </si>
  <si>
    <t xml:space="preserve">Deal EV (m)</t>
  </si>
  <si>
    <t xml:space="preserve">EV / LTM EBITDA</t>
  </si>
  <si>
    <t xml:space="preserve">Scale-relevant (EV &gt;= EUR 5bn)</t>
  </si>
  <si>
    <t xml:space="preserve">Multiple if scale-relevant</t>
  </si>
  <si>
    <t xml:space="preserve">Segment</t>
  </si>
  <si>
    <t xml:space="preserve">Source</t>
  </si>
  <si>
    <t xml:space="preserve">2023</t>
  </si>
  <si>
    <t xml:space="preserve">Creed</t>
  </si>
  <si>
    <t xml:space="preserve">FT via BeautyMatter: EV EUR 3.5bn, EBITDA EUR 150m</t>
  </si>
  <si>
    <t xml:space="preserve">Tapestry</t>
  </si>
  <si>
    <t xml:space="preserve">Capri Holdings (terminated 2024)</t>
  </si>
  <si>
    <t xml:space="preserve">Business of Fashion: 9x adjusted EBITDA</t>
  </si>
  <si>
    <t xml:space="preserve">2021</t>
  </si>
  <si>
    <t xml:space="preserve">LVMH</t>
  </si>
  <si>
    <t xml:space="preserve">Tiffany &amp; Co.</t>
  </si>
  <si>
    <t xml:space="preserve">Stockopine: implied EV/EBITDA at revised USD 15.8bn price</t>
  </si>
  <si>
    <t xml:space="preserve">2018</t>
  </si>
  <si>
    <t xml:space="preserve">Michael Kors</t>
  </si>
  <si>
    <t xml:space="preserve">Versace</t>
  </si>
  <si>
    <t xml:space="preserve">BSIC / Wells Fargo: 2.5x sales, 22x EBITDA</t>
  </si>
  <si>
    <t xml:space="preserve">2017</t>
  </si>
  <si>
    <t xml:space="preserve">Jimmy Choo</t>
  </si>
  <si>
    <t xml:space="preserve">Tiffany DEFM14A (SEC, 2020); EV per KPMG Advisory</t>
  </si>
  <si>
    <t xml:space="preserve">Coach</t>
  </si>
  <si>
    <t xml:space="preserve">Kate Spade</t>
  </si>
  <si>
    <t xml:space="preserve">Tiffany DEFM14A (SEC, 2020)</t>
  </si>
  <si>
    <t xml:space="preserve">Christian Dior Couture</t>
  </si>
  <si>
    <t xml:space="preserve">KPMG Advisory; Tiffany DEFM14A</t>
  </si>
  <si>
    <t xml:space="preserve">2016</t>
  </si>
  <si>
    <t xml:space="preserve">Samsonite</t>
  </si>
  <si>
    <t xml:space="preserve">Tumi</t>
  </si>
  <si>
    <t xml:space="preserve">2013</t>
  </si>
  <si>
    <t xml:space="preserve">Loro Piana (80%)</t>
  </si>
  <si>
    <t xml:space="preserve">Tiffany DEFM14A; EV grossed up from EUR 2.0bn for 80%</t>
  </si>
  <si>
    <t xml:space="preserve">Swatch Group</t>
  </si>
  <si>
    <t xml:space="preserve">Harry Winston</t>
  </si>
  <si>
    <t xml:space="preserve">2012</t>
  </si>
  <si>
    <t xml:space="preserve">Mayhoola</t>
  </si>
  <si>
    <t xml:space="preserve">Valentino</t>
  </si>
  <si>
    <t xml:space="preserve">KPMG Advisory Italy research</t>
  </si>
  <si>
    <t xml:space="preserve">2011</t>
  </si>
  <si>
    <t xml:space="preserve">Bulgari</t>
  </si>
  <si>
    <t xml:space="preserve">Median - all deals</t>
  </si>
  <si>
    <t xml:space="preserve">Mean - all deals</t>
  </si>
  <si>
    <t xml:space="preserve">Q1 - all deals</t>
  </si>
  <si>
    <t xml:space="preserve">Q3 - all deals</t>
  </si>
  <si>
    <t xml:space="preserve">Median - scale-relevant deals (applied)</t>
  </si>
  <si>
    <t xml:space="preserve">Min - scale-relevant deals</t>
  </si>
  <si>
    <t xml:space="preserve">Max - scale-relevant deals</t>
  </si>
  <si>
    <t xml:space="preserve">Implied value (control basis)</t>
  </si>
  <si>
    <t xml:space="preserve">LVMH EBITDA FY26E, pre-IFRS 16 (EUR m)</t>
  </si>
  <si>
    <t xml:space="preserve">Applied EV/EBITDA (scale-relevant median)</t>
  </si>
  <si>
    <t xml:space="preserve">Implied value - min multiple (EUR)</t>
  </si>
  <si>
    <t xml:space="preserve">Implied value - max multiple (EUR)</t>
  </si>
  <si>
    <t xml:space="preserve">Only deals with EV &gt;= EUR 5bn are applied: small, fast-growing brands command scarcity premia (Valentino 31.6x, Bulgari 25.8x) that are not transferable to an EUR 80bn group. The full median is shown for reference.</t>
  </si>
  <si>
    <t xml:space="preserve">LVMH - Valuation Summary (EUR per share)</t>
  </si>
  <si>
    <t xml:space="preserve">Methodology</t>
  </si>
  <si>
    <t xml:space="preserve">Low</t>
  </si>
  <si>
    <t xml:space="preserve">High</t>
  </si>
  <si>
    <t xml:space="preserve">DCF - Gordon growth</t>
  </si>
  <si>
    <t xml:space="preserve">WACC +/- 0.5%, g at base</t>
  </si>
  <si>
    <t xml:space="preserve">DCF - Exit multiple</t>
  </si>
  <si>
    <t xml:space="preserve">WACC +/- 0.5%, exit multiple at base</t>
  </si>
  <si>
    <t xml:space="preserve">Trading comps - EV/EBIT</t>
  </si>
  <si>
    <t xml:space="preserve">Core luxury peers, Q1-Q3 multiple</t>
  </si>
  <si>
    <t xml:space="preserve">Segment multiples -/+ 1.0x</t>
  </si>
  <si>
    <t xml:space="preserve">Scale-relevant deals, min-max</t>
  </si>
  <si>
    <t xml:space="preserve">52-week trading range</t>
  </si>
  <si>
    <t xml:space="preserve">Analyst price targets</t>
  </si>
  <si>
    <t xml:space="preserve">MarketScreener, 27 analysts</t>
  </si>
  <si>
    <t xml:space="preserve">Current share price</t>
  </si>
  <si>
    <t xml:space="preserve">Blended target price</t>
  </si>
  <si>
    <t xml:space="preserve">Chart Data - staging area (green = links, black = formulas)</t>
  </si>
  <si>
    <t xml:space="preserve">FOOTBALL FIELD</t>
  </si>
  <si>
    <t xml:space="preserve">Method</t>
  </si>
  <si>
    <t xml:space="preserve">Low_base</t>
  </si>
  <si>
    <t xml:space="preserve">Range</t>
  </si>
  <si>
    <t xml:space="preserve">EV -&gt; EQUITY BRIDGE (Gordon, EUR m)</t>
  </si>
  <si>
    <t xml:space="preserve">Step</t>
  </si>
  <si>
    <t xml:space="preserve">Base</t>
  </si>
  <si>
    <t xml:space="preserve">Delta</t>
  </si>
  <si>
    <t xml:space="preserve">EV</t>
  </si>
  <si>
    <t xml:space="preserve">(-) Net debt</t>
  </si>
  <si>
    <t xml:space="preserve">(-) Purchase commitments</t>
  </si>
  <si>
    <t xml:space="preserve">(-) Minorities</t>
  </si>
  <si>
    <t xml:space="preserve">(+) Associates &amp; fin. assets</t>
  </si>
  <si>
    <t xml:space="preserve">Equity</t>
  </si>
  <si>
    <t xml:space="preserve">WACC BUILD-UP</t>
  </si>
  <si>
    <t xml:space="preserve">Risk-free (Bund)</t>
  </si>
  <si>
    <t xml:space="preserve">+ Beta x ERP</t>
  </si>
  <si>
    <t xml:space="preserve">VALUATION BY METHOD (EUR / share)</t>
  </si>
  <si>
    <t xml:space="preserve">Price</t>
  </si>
  <si>
    <t xml:space="preserve">DCF Gordon</t>
  </si>
  <si>
    <t xml:space="preserve">DCF Exit</t>
  </si>
  <si>
    <t xml:space="preserve">Trading comps (group)</t>
  </si>
  <si>
    <t xml:space="preserve">Precedents</t>
  </si>
  <si>
    <t xml:space="preserve">Blended target</t>
  </si>
  <si>
    <t xml:space="preserve">Current price</t>
  </si>
  <si>
    <t xml:space="preserve">NET SALES BY BUSINESS GROUP (EUR m)</t>
  </si>
  <si>
    <t xml:space="preserve">Group \ Year</t>
  </si>
  <si>
    <t xml:space="preserve">PRO BY BUSINESS GROUP (EUR m)</t>
  </si>
  <si>
    <t xml:space="preserve">SOTP - EV BY BUSINESS GROUP (EUR m)</t>
  </si>
  <si>
    <t xml:space="preserve">Multiple</t>
  </si>
  <si>
    <t xml:space="preserve">PEER EV/EBIT 2026E</t>
  </si>
  <si>
    <t xml:space="preserve">LVMH VS CORE PEER MEDIAN</t>
  </si>
  <si>
    <t xml:space="preserve">Peer median</t>
  </si>
  <si>
    <t xml:space="preserve">NET FINANCIAL DEBT TRAJECTORY</t>
  </si>
  <si>
    <t xml:space="preserve">Net debt</t>
  </si>
  <si>
    <t xml:space="preserve">ND/EBITDA</t>
  </si>
  <si>
    <t xml:space="preserve">REVENUE AND PRO MARGIN</t>
  </si>
  <si>
    <t xml:space="preserve">PRECEDENT MULTIPLES</t>
  </si>
  <si>
    <t xml:space="preserve">Deal</t>
  </si>
  <si>
    <t xml:space="preserve">EV/EBITDA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</si>
</sst>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yyyy\-mm\-dd"/>
    <numFmt numFmtId="166" formatCode="#,##0.00;\(#,##0.00\);\-"/>
    <numFmt numFmtId="167" formatCode="0.0%;\(0.0%\);\-"/>
    <numFmt numFmtId="168" formatCode="#,##0;\(#,##0\);\-"/>
    <numFmt numFmtId="169" formatCode="#,##0.000"/>
    <numFmt numFmtId="170" formatCode="0.0\x;\(0.0&quot;x)&quot;;\-"/>
    <numFmt numFmtId="171" formatCode="0.00"/>
    <numFmt numFmtId="172" formatCode="0.00\%"/>
    <numFmt numFmtId="173" formatCode="0.000\%"/>
    <numFmt numFmtId="174" formatCode="0.0000"/>
    <numFmt numFmtId="175" formatCode="0"/>
    <numFmt numFmtId="176" formatCode="0.000"/>
    <numFmt numFmtId="177" formatCode="0.00\x;\(0.00&quot;x)&quot;;\-"/>
    <numFmt numFmtId="178" formatCode="#,##0.0;\(#,##0.0\);\-"/>
    <numFmt numFmtId="179" formatCode="0.00\x"/>
    <numFmt numFmtId="180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7F9FC"/>
      </patternFill>
    </fill>
    <fill>
      <patternFill patternType="solid">
        <fgColor rgb="FF305496"/>
        <bgColor rgb="FF1F3864"/>
      </patternFill>
    </fill>
    <fill>
      <patternFill patternType="solid">
        <fgColor rgb="FFF7F9FC"/>
        <bgColor rgb="FFFFFFFF"/>
      </patternFill>
    </fill>
    <fill>
      <patternFill patternType="solid">
        <fgColor rgb="FFDDEBF7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1F3864"/>
      </top>
      <bottom/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7F7F7F"/>
      <rgbColor rgb="FF9999FF"/>
      <rgbColor rgb="FF993366"/>
      <rgbColor rgb="FFF7F9F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4F81BD"/>
      <rgbColor rgb="FF878787"/>
      <rgbColor rgb="FF1F3864"/>
      <rgbColor rgb="FF00A651"/>
      <rgbColor rgb="FF003300"/>
      <rgbColor rgb="FF333300"/>
      <rgbColor rgb="FF8C2D19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Valuation summary (EUR/share)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Chart_Data!D4</c:f>
              <c:strCache>
                <c:ptCount val="1"/>
                <c:pt idx="0">
                  <c:v>Low_base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Chart_Data!$A$5:$A$11</c:f>
              <c:strCache>
                <c:ptCount val="7"/>
                <c:pt idx="0">
                  <c:v>DCF - Gordon growth</c:v>
                </c:pt>
                <c:pt idx="1">
                  <c:v>DCF - Exit multiple</c:v>
                </c:pt>
                <c:pt idx="2">
                  <c:v>Trading comps - EV/EBIT</c:v>
                </c:pt>
                <c:pt idx="3">
                  <c:v>Sum-of-the-parts</c:v>
                </c:pt>
                <c:pt idx="4">
                  <c:v>Precedent transactions</c:v>
                </c:pt>
                <c:pt idx="5">
                  <c:v>52-week trading range</c:v>
                </c:pt>
                <c:pt idx="6">
                  <c:v>Analyst price targets</c:v>
                </c:pt>
              </c:strCache>
            </c:strRef>
          </c:cat>
          <c:val>
            <c:numRef>
              <c:f>Chart_Data!$D$5:$D$11</c:f>
              <c:numCache>
                <c:formatCode>#,##0.00;\(#,##0.00\);\-</c:formatCode>
                <c:ptCount val="7"/>
                <c:pt idx="0">
                  <c:v>438.65965529996</c:v>
                </c:pt>
                <c:pt idx="1">
                  <c:v>511.643779357463</c:v>
                </c:pt>
                <c:pt idx="2">
                  <c:v>347.281475004259</c:v>
                </c:pt>
                <c:pt idx="3">
                  <c:v>414.941516017135</c:v>
                </c:pt>
                <c:pt idx="4">
                  <c:v>360.433807898852</c:v>
                </c:pt>
                <c:pt idx="5">
                  <c:v>375.65</c:v>
                </c:pt>
                <c:pt idx="6">
                  <c:v>415</c:v>
                </c:pt>
              </c:numCache>
            </c:numRef>
          </c:val>
        </c:ser>
        <c:ser>
          <c:idx val="1"/>
          <c:order val="1"/>
          <c:tx>
            <c:strRef>
              <c:f>Chart_Data!E4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Chart_Data!$A$5:$A$11</c:f>
              <c:strCache>
                <c:ptCount val="7"/>
                <c:pt idx="0">
                  <c:v>DCF - Gordon growth</c:v>
                </c:pt>
                <c:pt idx="1">
                  <c:v>DCF - Exit multiple</c:v>
                </c:pt>
                <c:pt idx="2">
                  <c:v>Trading comps - EV/EBIT</c:v>
                </c:pt>
                <c:pt idx="3">
                  <c:v>Sum-of-the-parts</c:v>
                </c:pt>
                <c:pt idx="4">
                  <c:v>Precedent transactions</c:v>
                </c:pt>
                <c:pt idx="5">
                  <c:v>52-week trading range</c:v>
                </c:pt>
                <c:pt idx="6">
                  <c:v>Analyst price targets</c:v>
                </c:pt>
              </c:strCache>
            </c:strRef>
          </c:cat>
          <c:val>
            <c:numRef>
              <c:f>Chart_Data!$E$5:$E$11</c:f>
              <c:numCache>
                <c:formatCode>#,##0.00;\(#,##0.00\);\-</c:formatCode>
                <c:ptCount val="7"/>
                <c:pt idx="0">
                  <c:v>91.4620851307889</c:v>
                </c:pt>
                <c:pt idx="1">
                  <c:v>23.0716920758554</c:v>
                </c:pt>
                <c:pt idx="2">
                  <c:v>220.261636093393</c:v>
                </c:pt>
                <c:pt idx="3">
                  <c:v>69.4972137029808</c:v>
                </c:pt>
                <c:pt idx="4">
                  <c:v>408.326939649425</c:v>
                </c:pt>
                <c:pt idx="5">
                  <c:v>279.05</c:v>
                </c:pt>
                <c:pt idx="6">
                  <c:v>175</c:v>
                </c:pt>
              </c:numCache>
            </c:numRef>
          </c:val>
        </c:ser>
        <c:gapWidth val="150"/>
        <c:overlap val="100"/>
        <c:axId val="43146310"/>
        <c:axId val="25049526"/>
      </c:barChart>
      <c:catAx>
        <c:axId val="431463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049526"/>
        <c:crosses val="autoZero"/>
        <c:auto val="1"/>
        <c:lblAlgn val="ctr"/>
        <c:lblOffset val="100"/>
        <c:noMultiLvlLbl val="0"/>
      </c:catAx>
      <c:valAx>
        <c:axId val="250495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1463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LVMH vs luxury peers (EV/EBIT 2026E)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Chart_Data!B68</c:f>
              <c:strCache>
                <c:ptCount val="1"/>
                <c:pt idx="0">
                  <c:v>EV/EBIT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Chart_Data!$A$69:$A$74</c:f>
              <c:strCache>
                <c:ptCount val="6"/>
                <c:pt idx="0">
                  <c:v>Hermes</c:v>
                </c:pt>
                <c:pt idx="1">
                  <c:v>Richemont</c:v>
                </c:pt>
                <c:pt idx="2">
                  <c:v>Kering</c:v>
                </c:pt>
                <c:pt idx="3">
                  <c:v>Prada</c:v>
                </c:pt>
                <c:pt idx="4">
                  <c:v>Moncler</c:v>
                </c:pt>
                <c:pt idx="5">
                  <c:v>LVMH (self)</c:v>
                </c:pt>
              </c:strCache>
            </c:strRef>
          </c:cat>
          <c:val>
            <c:numRef>
              <c:f>Chart_Data!$B$69:$B$74</c:f>
              <c:numCache>
                <c:formatCode>0.0\x;\(0.0"x)";\-</c:formatCode>
                <c:ptCount val="6"/>
                <c:pt idx="0">
                  <c:v>17.9928824579676</c:v>
                </c:pt>
                <c:pt idx="1">
                  <c:v>17.0926378092264</c:v>
                </c:pt>
                <c:pt idx="2">
                  <c:v>16.4539369321219</c:v>
                </c:pt>
                <c:pt idx="3">
                  <c:v>10.3125745026383</c:v>
                </c:pt>
                <c:pt idx="4">
                  <c:v>10.7539193381593</c:v>
                </c:pt>
                <c:pt idx="5">
                  <c:v>11.9286002446541</c:v>
                </c:pt>
              </c:numCache>
            </c:numRef>
          </c:val>
        </c:ser>
        <c:gapWidth val="150"/>
        <c:overlap val="0"/>
        <c:axId val="60116120"/>
        <c:axId val="20158227"/>
      </c:barChart>
      <c:catAx>
        <c:axId val="6011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58227"/>
        <c:crosses val="autoZero"/>
        <c:auto val="1"/>
        <c:lblAlgn val="ctr"/>
        <c:lblOffset val="100"/>
        <c:noMultiLvlLbl val="0"/>
      </c:catAx>
      <c:valAx>
        <c:axId val="201582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x;\(0.0&quot;x)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161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LVMH discount on every multiple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Chart_Data!B77</c:f>
              <c:strCache>
                <c:ptCount val="1"/>
                <c:pt idx="0">
                  <c:v>LVMH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Chart_Data!$A$78:$A$80</c:f>
              <c:strCache>
                <c:ptCount val="3"/>
                <c:pt idx="0">
                  <c:v>EV/EBIT</c:v>
                </c:pt>
                <c:pt idx="1">
                  <c:v>EV/Sales</c:v>
                </c:pt>
                <c:pt idx="2">
                  <c:v>P/E</c:v>
                </c:pt>
              </c:strCache>
            </c:strRef>
          </c:cat>
          <c:val>
            <c:numRef>
              <c:f>Chart_Data!$B$78:$B$80</c:f>
              <c:numCache>
                <c:formatCode>0.0\x;\(0.0"x)";\-</c:formatCode>
                <c:ptCount val="3"/>
                <c:pt idx="0">
                  <c:v>11.9286002446541</c:v>
                </c:pt>
                <c:pt idx="1">
                  <c:v>2.56761346504895</c:v>
                </c:pt>
                <c:pt idx="2">
                  <c:v>17.4323203783435</c:v>
                </c:pt>
              </c:numCache>
            </c:numRef>
          </c:val>
        </c:ser>
        <c:ser>
          <c:idx val="1"/>
          <c:order val="1"/>
          <c:tx>
            <c:strRef>
              <c:f>Chart_Data!C77</c:f>
              <c:strCache>
                <c:ptCount val="1"/>
                <c:pt idx="0">
                  <c:v>Peer median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Chart_Data!$A$78:$A$80</c:f>
              <c:strCache>
                <c:ptCount val="3"/>
                <c:pt idx="0">
                  <c:v>EV/EBIT</c:v>
                </c:pt>
                <c:pt idx="1">
                  <c:v>EV/Sales</c:v>
                </c:pt>
                <c:pt idx="2">
                  <c:v>P/E</c:v>
                </c:pt>
              </c:strCache>
            </c:strRef>
          </c:cat>
          <c:val>
            <c:numRef>
              <c:f>Chart_Data!$C$78:$C$80</c:f>
              <c:numCache>
                <c:formatCode>0.0\x;\(0.0"x)";\-</c:formatCode>
                <c:ptCount val="3"/>
                <c:pt idx="0">
                  <c:v>16.4539369321219</c:v>
                </c:pt>
                <c:pt idx="1">
                  <c:v>3.16754188242461</c:v>
                </c:pt>
                <c:pt idx="2">
                  <c:v>23.2778426437646</c:v>
                </c:pt>
              </c:numCache>
            </c:numRef>
          </c:val>
        </c:ser>
        <c:gapWidth val="150"/>
        <c:overlap val="0"/>
        <c:axId val="93553877"/>
        <c:axId val="36047433"/>
      </c:barChart>
      <c:catAx>
        <c:axId val="935538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47433"/>
        <c:crosses val="autoZero"/>
        <c:auto val="1"/>
        <c:lblAlgn val="ctr"/>
        <c:lblOffset val="100"/>
        <c:noMultiLvlLbl val="0"/>
      </c:catAx>
      <c:valAx>
        <c:axId val="360474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x;\(0.0&quot;x)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538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Luxury M&amp;A precedents (EV/LTM EBITDA)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Chart_Data!B104</c:f>
              <c:strCache>
                <c:ptCount val="1"/>
                <c:pt idx="0">
                  <c:v>EV/EBITDA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Chart_Data!$A$105:$A$116</c:f>
              <c:strCache>
                <c:ptCount val="12"/>
                <c:pt idx="0">
                  <c:v>Kering / Creed</c:v>
                </c:pt>
                <c:pt idx="1">
                  <c:v>Tapestry / Capri Holdings (terminated 2024)</c:v>
                </c:pt>
                <c:pt idx="2">
                  <c:v>LVMH / Tiffany &amp; Co.</c:v>
                </c:pt>
                <c:pt idx="3">
                  <c:v>Michael Kors / Versace</c:v>
                </c:pt>
                <c:pt idx="4">
                  <c:v>Michael Kors / Jimmy Choo</c:v>
                </c:pt>
                <c:pt idx="5">
                  <c:v>Coach / Kate Spade</c:v>
                </c:pt>
                <c:pt idx="6">
                  <c:v>LVMH / Christian Dior Couture</c:v>
                </c:pt>
                <c:pt idx="7">
                  <c:v>Samsonite / Tumi</c:v>
                </c:pt>
                <c:pt idx="8">
                  <c:v>LVMH / Loro Piana (80%)</c:v>
                </c:pt>
                <c:pt idx="9">
                  <c:v>Swatch Group / Harry Winston</c:v>
                </c:pt>
                <c:pt idx="10">
                  <c:v>Mayhoola / Valentino</c:v>
                </c:pt>
                <c:pt idx="11">
                  <c:v>LVMH / Bulgari</c:v>
                </c:pt>
              </c:strCache>
            </c:strRef>
          </c:cat>
          <c:val>
            <c:numRef>
              <c:f>Chart_Data!$B$105:$B$116</c:f>
              <c:numCache>
                <c:formatCode>0.0\x;\(0.0"x)";\-</c:formatCode>
                <c:ptCount val="12"/>
                <c:pt idx="0">
                  <c:v>23.3</c:v>
                </c:pt>
                <c:pt idx="1">
                  <c:v>9</c:v>
                </c:pt>
                <c:pt idx="2">
                  <c:v>18.5</c:v>
                </c:pt>
                <c:pt idx="3">
                  <c:v>22</c:v>
                </c:pt>
                <c:pt idx="4">
                  <c:v>17.5</c:v>
                </c:pt>
                <c:pt idx="5">
                  <c:v>10.4</c:v>
                </c:pt>
                <c:pt idx="6">
                  <c:v>15.6</c:v>
                </c:pt>
                <c:pt idx="7">
                  <c:v>13.6</c:v>
                </c:pt>
                <c:pt idx="8">
                  <c:v>21</c:v>
                </c:pt>
                <c:pt idx="9">
                  <c:v>24.4</c:v>
                </c:pt>
                <c:pt idx="10">
                  <c:v>31.6</c:v>
                </c:pt>
                <c:pt idx="11">
                  <c:v>25.8</c:v>
                </c:pt>
              </c:numCache>
            </c:numRef>
          </c:val>
        </c:ser>
        <c:gapWidth val="150"/>
        <c:overlap val="0"/>
        <c:axId val="90234527"/>
        <c:axId val="18613602"/>
      </c:barChart>
      <c:catAx>
        <c:axId val="9023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613602"/>
        <c:crosses val="autoZero"/>
        <c:auto val="1"/>
        <c:lblAlgn val="ctr"/>
        <c:lblOffset val="100"/>
        <c:noMultiLvlLbl val="0"/>
      </c:catAx>
      <c:valAx>
        <c:axId val="186136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x;\(0.0&quot;x)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345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Enterprise value to equity bridge (EUR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Chart_Data!B15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Chart_Data!$A$16:$A$21</c:f>
              <c:strCache>
                <c:ptCount val="6"/>
                <c:pt idx="0">
                  <c:v>EV</c:v>
                </c:pt>
                <c:pt idx="1">
                  <c:v>(-) Net debt</c:v>
                </c:pt>
                <c:pt idx="2">
                  <c:v>(-) Purchase commitments</c:v>
                </c:pt>
                <c:pt idx="3">
                  <c:v>(-) Minorities</c:v>
                </c:pt>
                <c:pt idx="4">
                  <c:v>(+) Associates &amp; fin. assets</c:v>
                </c:pt>
                <c:pt idx="5">
                  <c:v>Equity</c:v>
                </c:pt>
              </c:strCache>
            </c:strRef>
          </c:cat>
          <c:val>
            <c:numRef>
              <c:f>Chart_Data!$B$16:$B$21</c:f>
              <c:numCache>
                <c:formatCode>#,##0;\(#,##0\);\-</c:formatCode>
                <c:ptCount val="6"/>
                <c:pt idx="0">
                  <c:v>0</c:v>
                </c:pt>
                <c:pt idx="1">
                  <c:v>242555.731636059</c:v>
                </c:pt>
                <c:pt idx="2">
                  <c:v>236139.731636059</c:v>
                </c:pt>
                <c:pt idx="3">
                  <c:v>234540.731636059</c:v>
                </c:pt>
                <c:pt idx="4">
                  <c:v>234540.731636059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Chart_Data!C15</c:f>
              <c:strCache>
                <c:ptCount val="1"/>
                <c:pt idx="0">
                  <c:v>Delta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Chart_Data!$A$16:$A$21</c:f>
              <c:strCache>
                <c:ptCount val="6"/>
                <c:pt idx="0">
                  <c:v>EV</c:v>
                </c:pt>
                <c:pt idx="1">
                  <c:v>(-) Net debt</c:v>
                </c:pt>
                <c:pt idx="2">
                  <c:v>(-) Purchase commitments</c:v>
                </c:pt>
                <c:pt idx="3">
                  <c:v>(-) Minorities</c:v>
                </c:pt>
                <c:pt idx="4">
                  <c:v>(+) Associates &amp; fin. assets</c:v>
                </c:pt>
                <c:pt idx="5">
                  <c:v>Equity</c:v>
                </c:pt>
              </c:strCache>
            </c:strRef>
          </c:cat>
          <c:val>
            <c:numRef>
              <c:f>Chart_Data!$C$16:$C$21</c:f>
              <c:numCache>
                <c:formatCode>#,##0;\(#,##0\);\-</c:formatCode>
                <c:ptCount val="6"/>
                <c:pt idx="0">
                  <c:v>247327.278411059</c:v>
                </c:pt>
                <c:pt idx="1">
                  <c:v>4771.546775</c:v>
                </c:pt>
                <c:pt idx="2">
                  <c:v>6416</c:v>
                </c:pt>
                <c:pt idx="3">
                  <c:v>1599</c:v>
                </c:pt>
                <c:pt idx="4">
                  <c:v>3192</c:v>
                </c:pt>
                <c:pt idx="5">
                  <c:v>237732.731636059</c:v>
                </c:pt>
              </c:numCache>
            </c:numRef>
          </c:val>
        </c:ser>
        <c:gapWidth val="150"/>
        <c:overlap val="100"/>
        <c:axId val="67446307"/>
        <c:axId val="51021902"/>
      </c:barChart>
      <c:catAx>
        <c:axId val="674463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21902"/>
        <c:crosses val="autoZero"/>
        <c:auto val="1"/>
        <c:lblAlgn val="ctr"/>
        <c:lblOffset val="100"/>
        <c:noMultiLvlLbl val="0"/>
      </c:catAx>
      <c:valAx>
        <c:axId val="510219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4463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WACC build-up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Chart_Data!B24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Chart_Data!$A$25:$A$28</c:f>
              <c:strCache>
                <c:ptCount val="4"/>
                <c:pt idx="0">
                  <c:v>Risk-free (Bund)</c:v>
                </c:pt>
                <c:pt idx="1">
                  <c:v>+ Beta x ERP</c:v>
                </c:pt>
                <c:pt idx="2">
                  <c:v>Cost of equity</c:v>
                </c:pt>
                <c:pt idx="3">
                  <c:v>WACC</c:v>
                </c:pt>
              </c:strCache>
            </c:strRef>
          </c:cat>
          <c:val>
            <c:numRef>
              <c:f>Chart_Data!$B$25:$B$28</c:f>
              <c:numCache>
                <c:formatCode>0.0%;\(0.0%\);\-</c:formatCode>
                <c:ptCount val="4"/>
                <c:pt idx="0">
                  <c:v>0</c:v>
                </c:pt>
                <c:pt idx="1">
                  <c:v>0.0337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Chart_Data!C24</c:f>
              <c:strCache>
                <c:ptCount val="1"/>
                <c:pt idx="0">
                  <c:v>Delta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Chart_Data!$A$25:$A$28</c:f>
              <c:strCache>
                <c:ptCount val="4"/>
                <c:pt idx="0">
                  <c:v>Risk-free (Bund)</c:v>
                </c:pt>
                <c:pt idx="1">
                  <c:v>+ Beta x ERP</c:v>
                </c:pt>
                <c:pt idx="2">
                  <c:v>Cost of equity</c:v>
                </c:pt>
                <c:pt idx="3">
                  <c:v>WACC</c:v>
                </c:pt>
              </c:strCache>
            </c:strRef>
          </c:cat>
          <c:val>
            <c:numRef>
              <c:f>Chart_Data!$C$25:$C$28</c:f>
              <c:numCache>
                <c:formatCode>0.0%;\(0.0%\);\-</c:formatCode>
                <c:ptCount val="4"/>
                <c:pt idx="0">
                  <c:v>0.0337</c:v>
                </c:pt>
                <c:pt idx="1">
                  <c:v>0.049841</c:v>
                </c:pt>
                <c:pt idx="2">
                  <c:v>0.083541</c:v>
                </c:pt>
                <c:pt idx="3">
                  <c:v>0.081116802528001</c:v>
                </c:pt>
              </c:numCache>
            </c:numRef>
          </c:val>
        </c:ser>
        <c:gapWidth val="150"/>
        <c:overlap val="100"/>
        <c:axId val="88148606"/>
        <c:axId val="4033015"/>
      </c:barChart>
      <c:catAx>
        <c:axId val="881486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3015"/>
        <c:crosses val="autoZero"/>
        <c:auto val="1"/>
        <c:lblAlgn val="ctr"/>
        <c:lblOffset val="100"/>
        <c:noMultiLvlLbl val="0"/>
      </c:catAx>
      <c:valAx>
        <c:axId val="40330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486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sales (EUR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Chart_Data!B92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Chart_Data!$A$93:$A$101</c:f>
              <c:strCache>
                <c:ptCount val="9"/>
                <c:pt idx="0">
                  <c:v>FY23A</c:v>
                </c:pt>
                <c:pt idx="1">
                  <c:v>FY24A</c:v>
                </c:pt>
                <c:pt idx="2">
                  <c:v>FY25A</c:v>
                </c:pt>
                <c:pt idx="3">
                  <c:v>FY26E</c:v>
                </c:pt>
                <c:pt idx="4">
                  <c:v>FY27E</c:v>
                </c:pt>
                <c:pt idx="5">
                  <c:v>FY28E</c:v>
                </c:pt>
                <c:pt idx="6">
                  <c:v>FY29E</c:v>
                </c:pt>
                <c:pt idx="7">
                  <c:v>FY30E</c:v>
                </c:pt>
                <c:pt idx="8">
                  <c:v>FY31E</c:v>
                </c:pt>
              </c:strCache>
            </c:strRef>
          </c:cat>
          <c:val>
            <c:numRef>
              <c:f>Chart_Data!$B$93:$B$101</c:f>
              <c:numCache>
                <c:formatCode>#,##0;\(#,##0\);\-</c:formatCode>
                <c:ptCount val="9"/>
                <c:pt idx="0">
                  <c:v>86153</c:v>
                </c:pt>
                <c:pt idx="1">
                  <c:v>84683</c:v>
                </c:pt>
                <c:pt idx="2">
                  <c:v>80807</c:v>
                </c:pt>
                <c:pt idx="3">
                  <c:v>79903.46</c:v>
                </c:pt>
                <c:pt idx="4">
                  <c:v>81701.6157</c:v>
                </c:pt>
                <c:pt idx="5">
                  <c:v>85724.1019</c:v>
                </c:pt>
                <c:pt idx="6">
                  <c:v>90332.40361548</c:v>
                </c:pt>
                <c:pt idx="7">
                  <c:v>95064.4832977956</c:v>
                </c:pt>
                <c:pt idx="8">
                  <c:v>99404.4020416259</c:v>
                </c:pt>
              </c:numCache>
            </c:numRef>
          </c:val>
        </c:ser>
        <c:gapWidth val="150"/>
        <c:overlap val="0"/>
        <c:axId val="96170108"/>
        <c:axId val="64766095"/>
      </c:barChart>
      <c:catAx>
        <c:axId val="961701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66095"/>
        <c:crosses val="autoZero"/>
        <c:auto val="1"/>
        <c:lblAlgn val="ctr"/>
        <c:lblOffset val="100"/>
        <c:noMultiLvlLbl val="0"/>
      </c:catAx>
      <c:valAx>
        <c:axId val="647660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1701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 (EUR m) and PRO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Chart_Data!C92</c:f>
              <c:strCache>
                <c:ptCount val="1"/>
                <c:pt idx="0">
                  <c:v>PRO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Chart_Data!$A$93:$A$101</c:f>
              <c:strCache>
                <c:ptCount val="9"/>
                <c:pt idx="0">
                  <c:v>FY23A</c:v>
                </c:pt>
                <c:pt idx="1">
                  <c:v>FY24A</c:v>
                </c:pt>
                <c:pt idx="2">
                  <c:v>FY25A</c:v>
                </c:pt>
                <c:pt idx="3">
                  <c:v>FY26E</c:v>
                </c:pt>
                <c:pt idx="4">
                  <c:v>FY27E</c:v>
                </c:pt>
                <c:pt idx="5">
                  <c:v>FY28E</c:v>
                </c:pt>
                <c:pt idx="6">
                  <c:v>FY29E</c:v>
                </c:pt>
                <c:pt idx="7">
                  <c:v>FY30E</c:v>
                </c:pt>
                <c:pt idx="8">
                  <c:v>FY31E</c:v>
                </c:pt>
              </c:strCache>
            </c:strRef>
          </c:cat>
          <c:val>
            <c:numRef>
              <c:f>Chart_Data!$C$93:$C$101</c:f>
              <c:numCache>
                <c:formatCode>#,##0;\(#,##0\);\-</c:formatCode>
                <c:ptCount val="9"/>
                <c:pt idx="0">
                  <c:v>22802</c:v>
                </c:pt>
                <c:pt idx="1">
                  <c:v>19571</c:v>
                </c:pt>
                <c:pt idx="2">
                  <c:v>17755</c:v>
                </c:pt>
                <c:pt idx="3">
                  <c:v>17199.10095</c:v>
                </c:pt>
                <c:pt idx="4">
                  <c:v>17601.873206</c:v>
                </c:pt>
                <c:pt idx="5">
                  <c:v>19202.11111696</c:v>
                </c:pt>
                <c:pt idx="6">
                  <c:v>20953.9179846682</c:v>
                </c:pt>
                <c:pt idx="7">
                  <c:v>22642.7398630456</c:v>
                </c:pt>
                <c:pt idx="8">
                  <c:v>23740.8478759278</c:v>
                </c:pt>
              </c:numCache>
            </c:numRef>
          </c:val>
        </c:ser>
        <c:gapWidth val="150"/>
        <c:overlap val="0"/>
        <c:axId val="15587289"/>
        <c:axId val="36761734"/>
      </c:barChart>
      <c:lineChart>
        <c:grouping val="standard"/>
        <c:varyColors val="0"/>
        <c:ser>
          <c:idx val="1"/>
          <c:order val="1"/>
          <c:tx>
            <c:strRef>
              <c:f>Chart_Data!D92</c:f>
              <c:strCache>
                <c:ptCount val="1"/>
                <c:pt idx="0">
                  <c:v>PRO margin</c:v>
                </c:pt>
              </c:strCache>
            </c:strRef>
          </c:tx>
          <c:spPr>
            <a:solidFill>
              <a:srgbClr val="00a651"/>
            </a:solidFill>
            <a:ln w="28440">
              <a:solidFill>
                <a:srgbClr val="00a65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Chart_Data!$A$93:$A$101</c:f>
              <c:strCache>
                <c:ptCount val="9"/>
                <c:pt idx="0">
                  <c:v>FY23A</c:v>
                </c:pt>
                <c:pt idx="1">
                  <c:v>FY24A</c:v>
                </c:pt>
                <c:pt idx="2">
                  <c:v>FY25A</c:v>
                </c:pt>
                <c:pt idx="3">
                  <c:v>FY26E</c:v>
                </c:pt>
                <c:pt idx="4">
                  <c:v>FY27E</c:v>
                </c:pt>
                <c:pt idx="5">
                  <c:v>FY28E</c:v>
                </c:pt>
                <c:pt idx="6">
                  <c:v>FY29E</c:v>
                </c:pt>
                <c:pt idx="7">
                  <c:v>FY30E</c:v>
                </c:pt>
                <c:pt idx="8">
                  <c:v>FY31E</c:v>
                </c:pt>
              </c:strCache>
            </c:strRef>
          </c:cat>
          <c:val>
            <c:numRef>
              <c:f>Chart_Data!$D$93:$D$101</c:f>
              <c:numCache>
                <c:formatCode>0.0%;\(0.0%\);\-</c:formatCode>
                <c:ptCount val="9"/>
                <c:pt idx="0">
                  <c:v>0.264668670853017</c:v>
                </c:pt>
                <c:pt idx="1">
                  <c:v>0.231108959295254</c:v>
                </c:pt>
                <c:pt idx="2">
                  <c:v>0.219721063769228</c:v>
                </c:pt>
                <c:pt idx="3">
                  <c:v>0.215248513018085</c:v>
                </c:pt>
                <c:pt idx="4">
                  <c:v>0.215440943917588</c:v>
                </c:pt>
                <c:pt idx="5">
                  <c:v>0.223998976849707</c:v>
                </c:pt>
                <c:pt idx="6">
                  <c:v>0.231964579110097</c:v>
                </c:pt>
                <c:pt idx="7">
                  <c:v>0.238182958320152</c:v>
                </c:pt>
                <c:pt idx="8">
                  <c:v>0.238830951027564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448005"/>
        <c:axId val="21195047"/>
      </c:lineChart>
      <c:catAx>
        <c:axId val="155872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761734"/>
        <c:crosses val="autoZero"/>
        <c:auto val="1"/>
        <c:lblAlgn val="ctr"/>
        <c:lblOffset val="100"/>
        <c:noMultiLvlLbl val="0"/>
      </c:catAx>
      <c:valAx>
        <c:axId val="367617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587289"/>
        <c:crosses val="autoZero"/>
        <c:crossBetween val="between"/>
      </c:valAx>
      <c:catAx>
        <c:axId val="94448005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195047"/>
        <c:crosses val="autoZero"/>
        <c:auto val="1"/>
        <c:lblAlgn val="ctr"/>
        <c:lblOffset val="100"/>
        <c:noMultiLvlLbl val="0"/>
      </c:catAx>
      <c:valAx>
        <c:axId val="2119504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4800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sales by business group (EUR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Chart_Data!A42</c:f>
              <c:strCache>
                <c:ptCount val="1"/>
                <c:pt idx="0">
                  <c:v>W&amp;S</c:v>
                </c:pt>
              </c:strCache>
            </c:strRef>
          </c:tx>
          <c:spPr>
            <a:solidFill>
              <a:srgbClr val="8c2d1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Chart_Data!$B$41:$J$41</c:f>
              <c:strCache>
                <c:ptCount val="9"/>
                <c:pt idx="0">
                  <c:v>FY23A</c:v>
                </c:pt>
                <c:pt idx="1">
                  <c:v>FY24A</c:v>
                </c:pt>
                <c:pt idx="2">
                  <c:v>FY25A</c:v>
                </c:pt>
                <c:pt idx="3">
                  <c:v>FY26E</c:v>
                </c:pt>
                <c:pt idx="4">
                  <c:v>FY27E</c:v>
                </c:pt>
                <c:pt idx="5">
                  <c:v>FY28E</c:v>
                </c:pt>
                <c:pt idx="6">
                  <c:v>FY29E</c:v>
                </c:pt>
                <c:pt idx="7">
                  <c:v>FY30E</c:v>
                </c:pt>
                <c:pt idx="8">
                  <c:v>FY31E</c:v>
                </c:pt>
              </c:strCache>
            </c:strRef>
          </c:cat>
          <c:val>
            <c:numRef>
              <c:f>Chart_Data!$B$42:$J$42</c:f>
              <c:numCache>
                <c:formatCode>#,##0;\(#,##0\);\-</c:formatCode>
                <c:ptCount val="9"/>
                <c:pt idx="0">
                  <c:v>6602</c:v>
                </c:pt>
                <c:pt idx="1">
                  <c:v>5862</c:v>
                </c:pt>
                <c:pt idx="2">
                  <c:v>5358</c:v>
                </c:pt>
                <c:pt idx="3">
                  <c:v>5540.05</c:v>
                </c:pt>
                <c:pt idx="4">
                  <c:v>5706.2515</c:v>
                </c:pt>
                <c:pt idx="5">
                  <c:v>5934.50156</c:v>
                </c:pt>
                <c:pt idx="6">
                  <c:v>6171.8816224</c:v>
                </c:pt>
                <c:pt idx="7">
                  <c:v>6418.756887296</c:v>
                </c:pt>
                <c:pt idx="8">
                  <c:v>6675.50716278784</c:v>
                </c:pt>
              </c:numCache>
            </c:numRef>
          </c:val>
        </c:ser>
        <c:ser>
          <c:idx val="1"/>
          <c:order val="1"/>
          <c:tx>
            <c:strRef>
              <c:f>Chart_Data!A43</c:f>
              <c:strCache>
                <c:ptCount val="1"/>
                <c:pt idx="0">
                  <c:v>F&amp;LG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Chart_Data!$B$41:$J$41</c:f>
              <c:strCache>
                <c:ptCount val="9"/>
                <c:pt idx="0">
                  <c:v>FY23A</c:v>
                </c:pt>
                <c:pt idx="1">
                  <c:v>FY24A</c:v>
                </c:pt>
                <c:pt idx="2">
                  <c:v>FY25A</c:v>
                </c:pt>
                <c:pt idx="3">
                  <c:v>FY26E</c:v>
                </c:pt>
                <c:pt idx="4">
                  <c:v>FY27E</c:v>
                </c:pt>
                <c:pt idx="5">
                  <c:v>FY28E</c:v>
                </c:pt>
                <c:pt idx="6">
                  <c:v>FY29E</c:v>
                </c:pt>
                <c:pt idx="7">
                  <c:v>FY30E</c:v>
                </c:pt>
                <c:pt idx="8">
                  <c:v>FY31E</c:v>
                </c:pt>
              </c:strCache>
            </c:strRef>
          </c:cat>
          <c:val>
            <c:numRef>
              <c:f>Chart_Data!$B$43:$J$43</c:f>
              <c:numCache>
                <c:formatCode>#,##0;\(#,##0\);\-</c:formatCode>
                <c:ptCount val="9"/>
                <c:pt idx="0">
                  <c:v>42169</c:v>
                </c:pt>
                <c:pt idx="1">
                  <c:v>41060</c:v>
                </c:pt>
                <c:pt idx="2">
                  <c:v>37770</c:v>
                </c:pt>
                <c:pt idx="3">
                  <c:v>36143.64</c:v>
                </c:pt>
                <c:pt idx="4">
                  <c:v>36505.0764</c:v>
                </c:pt>
                <c:pt idx="5">
                  <c:v>38330.33022</c:v>
                </c:pt>
                <c:pt idx="6">
                  <c:v>40630.1500332</c:v>
                </c:pt>
                <c:pt idx="7">
                  <c:v>43067.959035192</c:v>
                </c:pt>
                <c:pt idx="8">
                  <c:v>45221.3569869516</c:v>
                </c:pt>
              </c:numCache>
            </c:numRef>
          </c:val>
        </c:ser>
        <c:ser>
          <c:idx val="2"/>
          <c:order val="2"/>
          <c:tx>
            <c:strRef>
              <c:f>Chart_Data!A44</c:f>
              <c:strCache>
                <c:ptCount val="1"/>
                <c:pt idx="0">
                  <c:v>P&amp;C</c:v>
                </c:pt>
              </c:strCache>
            </c:strRef>
          </c:tx>
          <c:spPr>
            <a:solidFill>
              <a:srgbClr val="c9a22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Chart_Data!$B$41:$J$41</c:f>
              <c:strCache>
                <c:ptCount val="9"/>
                <c:pt idx="0">
                  <c:v>FY23A</c:v>
                </c:pt>
                <c:pt idx="1">
                  <c:v>FY24A</c:v>
                </c:pt>
                <c:pt idx="2">
                  <c:v>FY25A</c:v>
                </c:pt>
                <c:pt idx="3">
                  <c:v>FY26E</c:v>
                </c:pt>
                <c:pt idx="4">
                  <c:v>FY27E</c:v>
                </c:pt>
                <c:pt idx="5">
                  <c:v>FY28E</c:v>
                </c:pt>
                <c:pt idx="6">
                  <c:v>FY29E</c:v>
                </c:pt>
                <c:pt idx="7">
                  <c:v>FY30E</c:v>
                </c:pt>
                <c:pt idx="8">
                  <c:v>FY31E</c:v>
                </c:pt>
              </c:strCache>
            </c:strRef>
          </c:cat>
          <c:val>
            <c:numRef>
              <c:f>Chart_Data!$B$44:$J$44</c:f>
              <c:numCache>
                <c:formatCode>#,##0;\(#,##0\);\-</c:formatCode>
                <c:ptCount val="9"/>
                <c:pt idx="0">
                  <c:v>8271</c:v>
                </c:pt>
                <c:pt idx="1">
                  <c:v>8418</c:v>
                </c:pt>
                <c:pt idx="2">
                  <c:v>8174</c:v>
                </c:pt>
                <c:pt idx="3">
                  <c:v>8098.68</c:v>
                </c:pt>
                <c:pt idx="4">
                  <c:v>8341.6404</c:v>
                </c:pt>
                <c:pt idx="5">
                  <c:v>8675.306016</c:v>
                </c:pt>
                <c:pt idx="6">
                  <c:v>9022.31825664</c:v>
                </c:pt>
                <c:pt idx="7">
                  <c:v>9383.2109869056</c:v>
                </c:pt>
                <c:pt idx="8">
                  <c:v>9758.53942638183</c:v>
                </c:pt>
              </c:numCache>
            </c:numRef>
          </c:val>
        </c:ser>
        <c:ser>
          <c:idx val="3"/>
          <c:order val="3"/>
          <c:tx>
            <c:strRef>
              <c:f>Chart_Data!A45</c:f>
              <c:strCache>
                <c:ptCount val="1"/>
                <c:pt idx="0">
                  <c:v>W&amp;J</c:v>
                </c:pt>
              </c:strCache>
            </c:strRef>
          </c:tx>
          <c:spPr>
            <a:solidFill>
              <a:srgbClr val="7f7f7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Chart_Data!$B$41:$J$41</c:f>
              <c:strCache>
                <c:ptCount val="9"/>
                <c:pt idx="0">
                  <c:v>FY23A</c:v>
                </c:pt>
                <c:pt idx="1">
                  <c:v>FY24A</c:v>
                </c:pt>
                <c:pt idx="2">
                  <c:v>FY25A</c:v>
                </c:pt>
                <c:pt idx="3">
                  <c:v>FY26E</c:v>
                </c:pt>
                <c:pt idx="4">
                  <c:v>FY27E</c:v>
                </c:pt>
                <c:pt idx="5">
                  <c:v>FY28E</c:v>
                </c:pt>
                <c:pt idx="6">
                  <c:v>FY29E</c:v>
                </c:pt>
                <c:pt idx="7">
                  <c:v>FY30E</c:v>
                </c:pt>
                <c:pt idx="8">
                  <c:v>FY31E</c:v>
                </c:pt>
              </c:strCache>
            </c:strRef>
          </c:cat>
          <c:val>
            <c:numRef>
              <c:f>Chart_Data!$B$45:$J$45</c:f>
              <c:numCache>
                <c:formatCode>#,##0;\(#,##0\);\-</c:formatCode>
                <c:ptCount val="9"/>
                <c:pt idx="0">
                  <c:v>10902</c:v>
                </c:pt>
                <c:pt idx="1">
                  <c:v>10577</c:v>
                </c:pt>
                <c:pt idx="2">
                  <c:v>10486</c:v>
                </c:pt>
                <c:pt idx="3">
                  <c:v>11017.39</c:v>
                </c:pt>
                <c:pt idx="4">
                  <c:v>11678.4334</c:v>
                </c:pt>
                <c:pt idx="5">
                  <c:v>12379.139404</c:v>
                </c:pt>
                <c:pt idx="6">
                  <c:v>13121.88776824</c:v>
                </c:pt>
                <c:pt idx="7">
                  <c:v>13777.982156652</c:v>
                </c:pt>
                <c:pt idx="8">
                  <c:v>14466.8812644846</c:v>
                </c:pt>
              </c:numCache>
            </c:numRef>
          </c:val>
        </c:ser>
        <c:ser>
          <c:idx val="4"/>
          <c:order val="4"/>
          <c:tx>
            <c:strRef>
              <c:f>Chart_Data!A46</c:f>
              <c:strCache>
                <c:ptCount val="1"/>
                <c:pt idx="0">
                  <c:v>SR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Chart_Data!$B$41:$J$41</c:f>
              <c:strCache>
                <c:ptCount val="9"/>
                <c:pt idx="0">
                  <c:v>FY23A</c:v>
                </c:pt>
                <c:pt idx="1">
                  <c:v>FY24A</c:v>
                </c:pt>
                <c:pt idx="2">
                  <c:v>FY25A</c:v>
                </c:pt>
                <c:pt idx="3">
                  <c:v>FY26E</c:v>
                </c:pt>
                <c:pt idx="4">
                  <c:v>FY27E</c:v>
                </c:pt>
                <c:pt idx="5">
                  <c:v>FY28E</c:v>
                </c:pt>
                <c:pt idx="6">
                  <c:v>FY29E</c:v>
                </c:pt>
                <c:pt idx="7">
                  <c:v>FY30E</c:v>
                </c:pt>
                <c:pt idx="8">
                  <c:v>FY31E</c:v>
                </c:pt>
              </c:strCache>
            </c:strRef>
          </c:cat>
          <c:val>
            <c:numRef>
              <c:f>Chart_Data!$B$46:$J$46</c:f>
              <c:numCache>
                <c:formatCode>#,##0;\(#,##0\);\-</c:formatCode>
                <c:ptCount val="9"/>
                <c:pt idx="0">
                  <c:v>17885</c:v>
                </c:pt>
                <c:pt idx="1">
                  <c:v>18262</c:v>
                </c:pt>
                <c:pt idx="2">
                  <c:v>18348</c:v>
                </c:pt>
                <c:pt idx="3">
                  <c:v>18325.7</c:v>
                </c:pt>
                <c:pt idx="4">
                  <c:v>18692.214</c:v>
                </c:pt>
                <c:pt idx="5">
                  <c:v>19626.8247</c:v>
                </c:pt>
                <c:pt idx="6">
                  <c:v>20608.165935</c:v>
                </c:pt>
                <c:pt idx="7">
                  <c:v>21638.57423175</c:v>
                </c:pt>
                <c:pt idx="8">
                  <c:v>22504.11720102</c:v>
                </c:pt>
              </c:numCache>
            </c:numRef>
          </c:val>
        </c:ser>
        <c:ser>
          <c:idx val="5"/>
          <c:order val="5"/>
          <c:tx>
            <c:strRef>
              <c:f>Chart_Data!A47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d9d9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Chart_Data!$B$41:$J$41</c:f>
              <c:strCache>
                <c:ptCount val="9"/>
                <c:pt idx="0">
                  <c:v>FY23A</c:v>
                </c:pt>
                <c:pt idx="1">
                  <c:v>FY24A</c:v>
                </c:pt>
                <c:pt idx="2">
                  <c:v>FY25A</c:v>
                </c:pt>
                <c:pt idx="3">
                  <c:v>FY26E</c:v>
                </c:pt>
                <c:pt idx="4">
                  <c:v>FY27E</c:v>
                </c:pt>
                <c:pt idx="5">
                  <c:v>FY28E</c:v>
                </c:pt>
                <c:pt idx="6">
                  <c:v>FY29E</c:v>
                </c:pt>
                <c:pt idx="7">
                  <c:v>FY30E</c:v>
                </c:pt>
                <c:pt idx="8">
                  <c:v>FY31E</c:v>
                </c:pt>
              </c:strCache>
            </c:strRef>
          </c:cat>
          <c:val>
            <c:numRef>
              <c:f>Chart_Data!$B$47:$J$47</c:f>
              <c:numCache>
                <c:formatCode>#,##0;\(#,##0\);\-</c:formatCode>
                <c:ptCount val="9"/>
                <c:pt idx="0">
                  <c:v>324</c:v>
                </c:pt>
                <c:pt idx="1">
                  <c:v>504</c:v>
                </c:pt>
                <c:pt idx="2">
                  <c:v>671</c:v>
                </c:pt>
                <c:pt idx="3">
                  <c:v>778</c:v>
                </c:pt>
                <c:pt idx="4">
                  <c:v>778</c:v>
                </c:pt>
                <c:pt idx="5">
                  <c:v>778</c:v>
                </c:pt>
                <c:pt idx="6">
                  <c:v>778</c:v>
                </c:pt>
                <c:pt idx="7">
                  <c:v>778</c:v>
                </c:pt>
                <c:pt idx="8">
                  <c:v>778</c:v>
                </c:pt>
              </c:numCache>
            </c:numRef>
          </c:val>
        </c:ser>
        <c:gapWidth val="150"/>
        <c:overlap val="100"/>
        <c:axId val="37543360"/>
        <c:axId val="85090823"/>
      </c:barChart>
      <c:catAx>
        <c:axId val="3754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90823"/>
        <c:crosses val="autoZero"/>
        <c:auto val="1"/>
        <c:lblAlgn val="ctr"/>
        <c:lblOffset val="100"/>
        <c:noMultiLvlLbl val="0"/>
      </c:catAx>
      <c:valAx>
        <c:axId val="850908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5433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financial debt (EUR m) and ND/EBITDA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Chart_Data!B83</c:f>
              <c:strCache>
                <c:ptCount val="1"/>
                <c:pt idx="0">
                  <c:v>Net debt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Chart_Data!$A$84:$A$89</c:f>
              <c:strCache>
                <c:ptCount val="6"/>
                <c:pt idx="0">
                  <c:v>FY26E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  <c:pt idx="5">
                  <c:v>FY31E</c:v>
                </c:pt>
              </c:strCache>
            </c:strRef>
          </c:cat>
          <c:val>
            <c:numRef>
              <c:f>Chart_Data!$B$84:$B$89</c:f>
              <c:numCache>
                <c:formatCode>#,##0;\(#,##0\);\-</c:formatCode>
                <c:ptCount val="6"/>
                <c:pt idx="0">
                  <c:v>4771.546775</c:v>
                </c:pt>
                <c:pt idx="1">
                  <c:v>1332.15757012</c:v>
                </c:pt>
                <c:pt idx="2">
                  <c:v>-2796.1408129608</c:v>
                </c:pt>
                <c:pt idx="3">
                  <c:v>-7877.43808030542</c:v>
                </c:pt>
                <c:pt idx="4">
                  <c:v>-13863.6509642662</c:v>
                </c:pt>
                <c:pt idx="5">
                  <c:v>-20330.2250789859</c:v>
                </c:pt>
              </c:numCache>
            </c:numRef>
          </c:val>
        </c:ser>
        <c:gapWidth val="150"/>
        <c:overlap val="0"/>
        <c:axId val="37651198"/>
        <c:axId val="25212327"/>
      </c:barChart>
      <c:lineChart>
        <c:grouping val="standard"/>
        <c:varyColors val="0"/>
        <c:ser>
          <c:idx val="1"/>
          <c:order val="1"/>
          <c:tx>
            <c:strRef>
              <c:f>Chart_Data!C83</c:f>
              <c:strCache>
                <c:ptCount val="1"/>
                <c:pt idx="0">
                  <c:v>ND/EBITDA</c:v>
                </c:pt>
              </c:strCache>
            </c:strRef>
          </c:tx>
          <c:spPr>
            <a:solidFill>
              <a:srgbClr val="00a651"/>
            </a:solidFill>
            <a:ln w="28440">
              <a:solidFill>
                <a:srgbClr val="00a65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Chart_Data!$A$84:$A$89</c:f>
              <c:strCache>
                <c:ptCount val="6"/>
                <c:pt idx="0">
                  <c:v>FY26E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  <c:pt idx="5">
                  <c:v>FY31E</c:v>
                </c:pt>
              </c:strCache>
            </c:strRef>
          </c:cat>
          <c:val>
            <c:numRef>
              <c:f>Chart_Data!$C$84:$C$89</c:f>
              <c:numCache>
                <c:formatCode>0.00\x</c:formatCode>
                <c:ptCount val="6"/>
                <c:pt idx="0">
                  <c:v>0.224288191408854</c:v>
                </c:pt>
                <c:pt idx="1">
                  <c:v>0.0611961342118889</c:v>
                </c:pt>
                <c:pt idx="2">
                  <c:v>-0.118611013459447</c:v>
                </c:pt>
                <c:pt idx="3">
                  <c:v>-0.308183481428107</c:v>
                </c:pt>
                <c:pt idx="4">
                  <c:v>-0.504297282242508</c:v>
                </c:pt>
                <c:pt idx="5">
                  <c:v>-0.70565400007336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828387"/>
        <c:axId val="85200893"/>
      </c:lineChart>
      <c:catAx>
        <c:axId val="376511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212327"/>
        <c:crosses val="autoZero"/>
        <c:auto val="1"/>
        <c:lblAlgn val="ctr"/>
        <c:lblOffset val="100"/>
        <c:noMultiLvlLbl val="0"/>
      </c:catAx>
      <c:valAx>
        <c:axId val="252123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651198"/>
        <c:crosses val="autoZero"/>
        <c:crossBetween val="between"/>
      </c:valAx>
      <c:catAx>
        <c:axId val="23828387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200893"/>
        <c:crosses val="autoZero"/>
        <c:auto val="1"/>
        <c:lblAlgn val="ctr"/>
        <c:lblOffset val="100"/>
        <c:noMultiLvlLbl val="0"/>
      </c:catAx>
      <c:valAx>
        <c:axId val="85200893"/>
        <c:scaling>
          <c:orientation val="minMax"/>
        </c:scaling>
        <c:delete val="0"/>
        <c:axPos val="r"/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828387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Implied value by method vs target and price (EUR/share)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Chart_Data!B31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Chart_Data!$A$32:$A$38</c:f>
              <c:strCache>
                <c:ptCount val="7"/>
                <c:pt idx="0">
                  <c:v>DCF Gordon</c:v>
                </c:pt>
                <c:pt idx="1">
                  <c:v>DCF Exit</c:v>
                </c:pt>
                <c:pt idx="2">
                  <c:v>Trading comps (group)</c:v>
                </c:pt>
                <c:pt idx="3">
                  <c:v>Sum-of-the-parts</c:v>
                </c:pt>
                <c:pt idx="4">
                  <c:v>Precedents</c:v>
                </c:pt>
                <c:pt idx="5">
                  <c:v>Blended target</c:v>
                </c:pt>
                <c:pt idx="6">
                  <c:v>Current price</c:v>
                </c:pt>
              </c:strCache>
            </c:strRef>
          </c:cat>
          <c:val>
            <c:numRef>
              <c:f>Chart_Data!$B$32:$B$38</c:f>
              <c:numCache>
                <c:formatCode>#,##0.00;\(#,##0.00\);\-</c:formatCode>
                <c:ptCount val="7"/>
                <c:pt idx="0">
                  <c:v>480.308898201582</c:v>
                </c:pt>
                <c:pt idx="1">
                  <c:v>523.024256281744</c:v>
                </c:pt>
                <c:pt idx="2">
                  <c:v>545.349145423444</c:v>
                </c:pt>
                <c:pt idx="3">
                  <c:v>449.690122868626</c:v>
                </c:pt>
                <c:pt idx="4">
                  <c:v>644.1135764974</c:v>
                </c:pt>
                <c:pt idx="5">
                  <c:v>504.84186809946</c:v>
                </c:pt>
                <c:pt idx="6">
                  <c:v>388.1</c:v>
                </c:pt>
              </c:numCache>
            </c:numRef>
          </c:val>
        </c:ser>
        <c:gapWidth val="150"/>
        <c:overlap val="0"/>
        <c:axId val="55145705"/>
        <c:axId val="4437501"/>
      </c:barChart>
      <c:catAx>
        <c:axId val="551457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7501"/>
        <c:crosses val="autoZero"/>
        <c:auto val="1"/>
        <c:lblAlgn val="ctr"/>
        <c:lblOffset val="100"/>
        <c:noMultiLvlLbl val="0"/>
      </c:catAx>
      <c:valAx>
        <c:axId val="44375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1457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Sum-of-the-parts EV by business group (EUR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Chart_Data!B59</c:f>
              <c:strCache>
                <c:ptCount val="1"/>
                <c:pt idx="0">
                  <c:v>EV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Chart_Data!$A$60:$A$65</c:f>
              <c:strCache>
                <c:ptCount val="6"/>
                <c:pt idx="0">
                  <c:v>W&amp;S</c:v>
                </c:pt>
                <c:pt idx="1">
                  <c:v>F&amp;LG</c:v>
                </c:pt>
                <c:pt idx="2">
                  <c:v>P&amp;C</c:v>
                </c:pt>
                <c:pt idx="3">
                  <c:v>W&amp;J</c:v>
                </c:pt>
                <c:pt idx="4">
                  <c:v>SR</c:v>
                </c:pt>
                <c:pt idx="5">
                  <c:v>Other</c:v>
                </c:pt>
              </c:strCache>
            </c:strRef>
          </c:cat>
          <c:val>
            <c:numRef>
              <c:f>Chart_Data!$B$60:$B$65</c:f>
              <c:numCache>
                <c:formatCode>#,##0;\(#,##0\);\-</c:formatCode>
                <c:ptCount val="6"/>
                <c:pt idx="0">
                  <c:v>13638.9575309038</c:v>
                </c:pt>
                <c:pt idx="1">
                  <c:v>167176.463574813</c:v>
                </c:pt>
                <c:pt idx="2">
                  <c:v>13822.050630544</c:v>
                </c:pt>
                <c:pt idx="3">
                  <c:v>24010.3227513066</c:v>
                </c:pt>
                <c:pt idx="4">
                  <c:v>23574.432838298</c:v>
                </c:pt>
                <c:pt idx="5">
                  <c:v>-6576.50349105651</c:v>
                </c:pt>
              </c:numCache>
            </c:numRef>
          </c:val>
        </c:ser>
        <c:gapWidth val="150"/>
        <c:overlap val="0"/>
        <c:axId val="69046323"/>
        <c:axId val="69921887"/>
      </c:barChart>
      <c:catAx>
        <c:axId val="690463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21887"/>
        <c:crosses val="autoZero"/>
        <c:auto val="1"/>
        <c:lblAlgn val="ctr"/>
        <c:lblOffset val="100"/>
        <c:noMultiLvlLbl val="0"/>
      </c:catAx>
      <c:valAx>
        <c:axId val="699218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0463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0</xdr:rowOff>
    </xdr:from>
    <xdr:to>
      <xdr:col>20</xdr:col>
      <xdr:colOff>255960</xdr:colOff>
      <xdr:row>16</xdr:row>
      <xdr:rowOff>21960</xdr:rowOff>
    </xdr:to>
    <xdr:graphicFrame>
      <xdr:nvGraphicFramePr>
        <xdr:cNvPr id="0" name="Chart 1"/>
        <xdr:cNvGraphicFramePr/>
      </xdr:nvGraphicFramePr>
      <xdr:xfrm>
        <a:off x="1062036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0</xdr:colOff>
      <xdr:row>1</xdr:row>
      <xdr:rowOff>0</xdr:rowOff>
    </xdr:from>
    <xdr:to>
      <xdr:col>31</xdr:col>
      <xdr:colOff>255960</xdr:colOff>
      <xdr:row>16</xdr:row>
      <xdr:rowOff>21960</xdr:rowOff>
    </xdr:to>
    <xdr:graphicFrame>
      <xdr:nvGraphicFramePr>
        <xdr:cNvPr id="1" name="Chart 2"/>
        <xdr:cNvGraphicFramePr/>
      </xdr:nvGraphicFramePr>
      <xdr:xfrm>
        <a:off x="1734696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18</xdr:row>
      <xdr:rowOff>0</xdr:rowOff>
    </xdr:from>
    <xdr:to>
      <xdr:col>20</xdr:col>
      <xdr:colOff>255960</xdr:colOff>
      <xdr:row>33</xdr:row>
      <xdr:rowOff>21960</xdr:rowOff>
    </xdr:to>
    <xdr:graphicFrame>
      <xdr:nvGraphicFramePr>
        <xdr:cNvPr id="2" name="Chart 3"/>
        <xdr:cNvGraphicFramePr/>
      </xdr:nvGraphicFramePr>
      <xdr:xfrm>
        <a:off x="10620360" y="3429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22</xdr:col>
      <xdr:colOff>0</xdr:colOff>
      <xdr:row>18</xdr:row>
      <xdr:rowOff>0</xdr:rowOff>
    </xdr:from>
    <xdr:to>
      <xdr:col>31</xdr:col>
      <xdr:colOff>255960</xdr:colOff>
      <xdr:row>33</xdr:row>
      <xdr:rowOff>21960</xdr:rowOff>
    </xdr:to>
    <xdr:graphicFrame>
      <xdr:nvGraphicFramePr>
        <xdr:cNvPr id="3" name="Chart 4"/>
        <xdr:cNvGraphicFramePr/>
      </xdr:nvGraphicFramePr>
      <xdr:xfrm>
        <a:off x="17346960" y="3429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35</xdr:row>
      <xdr:rowOff>0</xdr:rowOff>
    </xdr:from>
    <xdr:to>
      <xdr:col>20</xdr:col>
      <xdr:colOff>255960</xdr:colOff>
      <xdr:row>50</xdr:row>
      <xdr:rowOff>22320</xdr:rowOff>
    </xdr:to>
    <xdr:graphicFrame>
      <xdr:nvGraphicFramePr>
        <xdr:cNvPr id="4" name="Chart 5"/>
        <xdr:cNvGraphicFramePr/>
      </xdr:nvGraphicFramePr>
      <xdr:xfrm>
        <a:off x="10620360" y="6667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22</xdr:col>
      <xdr:colOff>0</xdr:colOff>
      <xdr:row>35</xdr:row>
      <xdr:rowOff>0</xdr:rowOff>
    </xdr:from>
    <xdr:to>
      <xdr:col>31</xdr:col>
      <xdr:colOff>255960</xdr:colOff>
      <xdr:row>50</xdr:row>
      <xdr:rowOff>22320</xdr:rowOff>
    </xdr:to>
    <xdr:graphicFrame>
      <xdr:nvGraphicFramePr>
        <xdr:cNvPr id="5" name="Chart 6"/>
        <xdr:cNvGraphicFramePr/>
      </xdr:nvGraphicFramePr>
      <xdr:xfrm>
        <a:off x="17346960" y="6667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0</xdr:colOff>
      <xdr:row>52</xdr:row>
      <xdr:rowOff>0</xdr:rowOff>
    </xdr:from>
    <xdr:to>
      <xdr:col>20</xdr:col>
      <xdr:colOff>255960</xdr:colOff>
      <xdr:row>67</xdr:row>
      <xdr:rowOff>22320</xdr:rowOff>
    </xdr:to>
    <xdr:graphicFrame>
      <xdr:nvGraphicFramePr>
        <xdr:cNvPr id="6" name="Chart 7"/>
        <xdr:cNvGraphicFramePr/>
      </xdr:nvGraphicFramePr>
      <xdr:xfrm>
        <a:off x="10620360" y="9906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22</xdr:col>
      <xdr:colOff>0</xdr:colOff>
      <xdr:row>52</xdr:row>
      <xdr:rowOff>0</xdr:rowOff>
    </xdr:from>
    <xdr:to>
      <xdr:col>31</xdr:col>
      <xdr:colOff>255960</xdr:colOff>
      <xdr:row>67</xdr:row>
      <xdr:rowOff>22320</xdr:rowOff>
    </xdr:to>
    <xdr:graphicFrame>
      <xdr:nvGraphicFramePr>
        <xdr:cNvPr id="7" name="Chart 8"/>
        <xdr:cNvGraphicFramePr/>
      </xdr:nvGraphicFramePr>
      <xdr:xfrm>
        <a:off x="17346960" y="9906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11</xdr:col>
      <xdr:colOff>0</xdr:colOff>
      <xdr:row>69</xdr:row>
      <xdr:rowOff>0</xdr:rowOff>
    </xdr:from>
    <xdr:to>
      <xdr:col>20</xdr:col>
      <xdr:colOff>255960</xdr:colOff>
      <xdr:row>84</xdr:row>
      <xdr:rowOff>22320</xdr:rowOff>
    </xdr:to>
    <xdr:graphicFrame>
      <xdr:nvGraphicFramePr>
        <xdr:cNvPr id="8" name="Chart 9"/>
        <xdr:cNvGraphicFramePr/>
      </xdr:nvGraphicFramePr>
      <xdr:xfrm>
        <a:off x="10620360" y="13144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22</xdr:col>
      <xdr:colOff>0</xdr:colOff>
      <xdr:row>69</xdr:row>
      <xdr:rowOff>0</xdr:rowOff>
    </xdr:from>
    <xdr:to>
      <xdr:col>31</xdr:col>
      <xdr:colOff>255960</xdr:colOff>
      <xdr:row>84</xdr:row>
      <xdr:rowOff>22320</xdr:rowOff>
    </xdr:to>
    <xdr:graphicFrame>
      <xdr:nvGraphicFramePr>
        <xdr:cNvPr id="9" name="Chart 10"/>
        <xdr:cNvGraphicFramePr/>
      </xdr:nvGraphicFramePr>
      <xdr:xfrm>
        <a:off x="17346960" y="13144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11</xdr:col>
      <xdr:colOff>0</xdr:colOff>
      <xdr:row>86</xdr:row>
      <xdr:rowOff>0</xdr:rowOff>
    </xdr:from>
    <xdr:to>
      <xdr:col>20</xdr:col>
      <xdr:colOff>255960</xdr:colOff>
      <xdr:row>101</xdr:row>
      <xdr:rowOff>21960</xdr:rowOff>
    </xdr:to>
    <xdr:graphicFrame>
      <xdr:nvGraphicFramePr>
        <xdr:cNvPr id="10" name="Chart 11"/>
        <xdr:cNvGraphicFramePr/>
      </xdr:nvGraphicFramePr>
      <xdr:xfrm>
        <a:off x="10620360" y="16382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22</xdr:col>
      <xdr:colOff>0</xdr:colOff>
      <xdr:row>86</xdr:row>
      <xdr:rowOff>0</xdr:rowOff>
    </xdr:from>
    <xdr:to>
      <xdr:col>31</xdr:col>
      <xdr:colOff>255960</xdr:colOff>
      <xdr:row>101</xdr:row>
      <xdr:rowOff>21960</xdr:rowOff>
    </xdr:to>
    <xdr:graphicFrame>
      <xdr:nvGraphicFramePr>
        <xdr:cNvPr id="11" name="Chart 12"/>
        <xdr:cNvGraphicFramePr/>
      </xdr:nvGraphicFramePr>
      <xdr:xfrm>
        <a:off x="17346960" y="16382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3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D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4" min="3" style="0" width="12"/>
  </cols>
  <sheetData>
    <row r="1" customFormat="false" ht="17.35" hidden="false" customHeight="false" outlineLevel="0" collapsed="false">
      <c r="B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2" t="s">
        <v>3</v>
      </c>
      <c r="B4" s="2" t="s">
        <v>4</v>
      </c>
    </row>
    <row r="5" customFormat="false" ht="15" hidden="false" customHeight="false" outlineLevel="0" collapsed="false">
      <c r="A5" s="2" t="s">
        <v>5</v>
      </c>
      <c r="B5" s="2" t="s">
        <v>6</v>
      </c>
    </row>
    <row r="6" customFormat="false" ht="15" hidden="false" customHeight="false" outlineLevel="0" collapsed="false">
      <c r="A6" s="2" t="s">
        <v>7</v>
      </c>
      <c r="B6" s="3" t="n">
        <v>46322</v>
      </c>
    </row>
    <row r="7" customFormat="false" ht="15" hidden="false" customHeight="false" outlineLevel="0" collapsed="false">
      <c r="A7" s="2" t="s">
        <v>8</v>
      </c>
      <c r="B7" s="4" t="str">
        <f aca="false">IF(B10&gt;=0.15,"BUY",IF(B10&lt;=-0.1,"SELL","HOLD"))</f>
        <v>BUY</v>
      </c>
    </row>
    <row r="8" customFormat="false" ht="15" hidden="false" customHeight="false" outlineLevel="0" collapsed="false">
      <c r="A8" s="2" t="s">
        <v>9</v>
      </c>
      <c r="B8" s="5" t="n">
        <f aca="false">WACC!B14</f>
        <v>388.1</v>
      </c>
    </row>
    <row r="9" customFormat="false" ht="15" hidden="false" customHeight="false" outlineLevel="0" collapsed="false">
      <c r="A9" s="2" t="s">
        <v>10</v>
      </c>
      <c r="B9" s="6" t="n">
        <f aca="false">B16</f>
        <v>504.84186809946</v>
      </c>
    </row>
    <row r="10" customFormat="false" ht="15" hidden="false" customHeight="false" outlineLevel="0" collapsed="false">
      <c r="A10" s="2" t="s">
        <v>11</v>
      </c>
      <c r="B10" s="7" t="n">
        <f aca="false">B9/B8-1</f>
        <v>0.300803576654111</v>
      </c>
    </row>
    <row r="11" customFormat="false" ht="15" hidden="false" customHeight="false" outlineLevel="0" collapsed="false">
      <c r="A11" s="8" t="s">
        <v>12</v>
      </c>
      <c r="B11" s="9" t="s">
        <v>13</v>
      </c>
      <c r="C11" s="9" t="s">
        <v>14</v>
      </c>
    </row>
    <row r="12" customFormat="false" ht="15" hidden="false" customHeight="false" outlineLevel="0" collapsed="false">
      <c r="A12" s="2" t="s">
        <v>15</v>
      </c>
      <c r="B12" s="5" t="n">
        <f aca="false">(Bridge!B12+Bridge!C12)/2</f>
        <v>501.666577241663</v>
      </c>
      <c r="C12" s="10" t="n">
        <v>0.5</v>
      </c>
    </row>
    <row r="13" customFormat="false" ht="15" hidden="false" customHeight="false" outlineLevel="0" collapsed="false">
      <c r="A13" s="2" t="s">
        <v>16</v>
      </c>
      <c r="B13" s="5" t="n">
        <f aca="false">Trading_Comps!G42</f>
        <v>449.690122868626</v>
      </c>
      <c r="C13" s="10" t="n">
        <v>0.35</v>
      </c>
    </row>
    <row r="14" customFormat="false" ht="15" hidden="false" customHeight="false" outlineLevel="0" collapsed="false">
      <c r="A14" s="2" t="s">
        <v>17</v>
      </c>
      <c r="B14" s="5" t="n">
        <f aca="false">Precedent_Transactions!B31</f>
        <v>644.1135764974</v>
      </c>
      <c r="C14" s="10" t="n">
        <v>0.15</v>
      </c>
    </row>
    <row r="15" customFormat="false" ht="15" hidden="false" customHeight="false" outlineLevel="0" collapsed="false">
      <c r="A15" s="11" t="s">
        <v>18</v>
      </c>
      <c r="B15" s="12" t="n">
        <f aca="false">SUM(C12:C14)</f>
        <v>1</v>
      </c>
    </row>
    <row r="16" customFormat="false" ht="15" hidden="false" customHeight="false" outlineLevel="0" collapsed="false">
      <c r="A16" s="13" t="s">
        <v>19</v>
      </c>
      <c r="B16" s="14" t="n">
        <f aca="false">SUMPRODUCT(B12:B14,C12:C14)</f>
        <v>504.84186809946</v>
      </c>
      <c r="C16" s="15"/>
    </row>
    <row r="17" customFormat="false" ht="15" hidden="false" customHeight="false" outlineLevel="0" collapsed="false">
      <c r="A17" s="8" t="s">
        <v>20</v>
      </c>
    </row>
    <row r="18" customFormat="false" ht="15" hidden="false" customHeight="false" outlineLevel="0" collapsed="false">
      <c r="A18" s="2" t="s">
        <v>21</v>
      </c>
      <c r="B18" s="5" t="n">
        <f aca="false">Bridge!B12</f>
        <v>480.308898201582</v>
      </c>
    </row>
    <row r="19" customFormat="false" ht="15" hidden="false" customHeight="false" outlineLevel="0" collapsed="false">
      <c r="A19" s="2" t="s">
        <v>22</v>
      </c>
      <c r="B19" s="5" t="n">
        <f aca="false">Bridge!C12</f>
        <v>523.024256281744</v>
      </c>
    </row>
    <row r="20" customFormat="false" ht="15" hidden="false" customHeight="false" outlineLevel="0" collapsed="false">
      <c r="A20" s="2" t="s">
        <v>23</v>
      </c>
      <c r="B20" s="5" t="n">
        <f aca="false">Trading_Comps!B27</f>
        <v>545.349145423444</v>
      </c>
    </row>
    <row r="21" customFormat="false" ht="15" hidden="false" customHeight="false" outlineLevel="0" collapsed="false">
      <c r="A21" s="2" t="s">
        <v>24</v>
      </c>
      <c r="B21" s="5" t="n">
        <f aca="false">Trading_Comps!G42</f>
        <v>449.690122868626</v>
      </c>
    </row>
    <row r="22" customFormat="false" ht="15" hidden="false" customHeight="false" outlineLevel="0" collapsed="false">
      <c r="A22" s="2" t="s">
        <v>25</v>
      </c>
      <c r="B22" s="5" t="n">
        <f aca="false">Precedent_Transactions!B31</f>
        <v>644.1135764974</v>
      </c>
    </row>
    <row r="23" customFormat="false" ht="15" hidden="false" customHeight="false" outlineLevel="0" collapsed="false">
      <c r="A23" s="2" t="s">
        <v>26</v>
      </c>
      <c r="B23" s="5" t="n">
        <f aca="false">Data!$B$7</f>
        <v>375.65</v>
      </c>
      <c r="C23" s="5" t="n">
        <f aca="false">Data!$B$8</f>
        <v>654.7</v>
      </c>
    </row>
    <row r="24" customFormat="false" ht="15" hidden="false" customHeight="false" outlineLevel="0" collapsed="false">
      <c r="A24" s="2" t="s">
        <v>27</v>
      </c>
      <c r="B24" s="5" t="n">
        <f aca="false">Data!$B$25</f>
        <v>491.54</v>
      </c>
      <c r="C24" s="5" t="n">
        <f aca="false">Data!$B$26</f>
        <v>415</v>
      </c>
      <c r="D24" s="5" t="n">
        <f aca="false">Data!$B$27</f>
        <v>590</v>
      </c>
    </row>
    <row r="25" customFormat="false" ht="15" hidden="false" customHeight="false" outlineLevel="0" collapsed="false">
      <c r="A25" s="8" t="s">
        <v>28</v>
      </c>
    </row>
    <row r="26" customFormat="false" ht="15" hidden="false" customHeight="false" outlineLevel="0" collapsed="false">
      <c r="A26" s="2" t="s">
        <v>29</v>
      </c>
      <c r="B26" s="16" t="n">
        <f aca="false">WACC!B16</f>
        <v>192093.1998</v>
      </c>
    </row>
    <row r="27" customFormat="false" ht="15" hidden="false" customHeight="false" outlineLevel="0" collapsed="false">
      <c r="A27" s="2" t="s">
        <v>30</v>
      </c>
      <c r="B27" s="16" t="n">
        <f aca="false">WACC!B17</f>
        <v>8245</v>
      </c>
    </row>
    <row r="28" customFormat="false" ht="15" hidden="false" customHeight="false" outlineLevel="0" collapsed="false">
      <c r="A28" s="2" t="s">
        <v>31</v>
      </c>
      <c r="B28" s="16" t="n">
        <f aca="false">Trading_Comps!I13</f>
        <v>205161.1998</v>
      </c>
    </row>
    <row r="29" customFormat="false" ht="15" hidden="false" customHeight="false" outlineLevel="0" collapsed="false">
      <c r="A29" s="2" t="s">
        <v>32</v>
      </c>
      <c r="B29" s="17" t="n">
        <f aca="false">WACC!B15</f>
        <v>494.958</v>
      </c>
    </row>
    <row r="30" customFormat="false" ht="15" hidden="false" customHeight="false" outlineLevel="0" collapsed="false">
      <c r="A30" s="2" t="s">
        <v>33</v>
      </c>
      <c r="B30" s="18" t="n">
        <f aca="false">Trading_Comps!M13</f>
        <v>11.9286002446541</v>
      </c>
    </row>
    <row r="31" customFormat="false" ht="15" hidden="false" customHeight="false" outlineLevel="0" collapsed="false">
      <c r="A31" s="2" t="s">
        <v>34</v>
      </c>
      <c r="B31" s="18" t="n">
        <f aca="false">Trading_Comps!O13</f>
        <v>17.4323203783435</v>
      </c>
    </row>
    <row r="32" customFormat="false" ht="15" hidden="false" customHeight="false" outlineLevel="0" collapsed="false">
      <c r="A32" s="2" t="s">
        <v>35</v>
      </c>
      <c r="B32" s="19" t="n">
        <f aca="false">Data!$B$10/B8</f>
        <v>0.0334965215150734</v>
      </c>
    </row>
    <row r="33" customFormat="false" ht="15" hidden="false" customHeight="false" outlineLevel="0" collapsed="false">
      <c r="A33" s="2" t="s">
        <v>36</v>
      </c>
      <c r="B33" s="19" t="n">
        <f aca="false">WACC!B21</f>
        <v>0.081116802528001</v>
      </c>
    </row>
    <row r="34" customFormat="false" ht="15" hidden="false" customHeight="false" outlineLevel="0" collapsed="false">
      <c r="A34" s="2" t="s">
        <v>37</v>
      </c>
      <c r="B34" s="20" t="str">
        <f aca="false">Data!$B$23&amp;" / "&amp;Data!$B$24</f>
        <v>AA- / Aa3</v>
      </c>
    </row>
    <row r="36" customFormat="false" ht="15" hidden="false" customHeight="false" outlineLevel="0" collapsed="false">
      <c r="A36" s="4" t="s">
        <v>38</v>
      </c>
      <c r="B36" s="21" t="s">
        <v>39</v>
      </c>
    </row>
    <row r="37" customFormat="false" ht="15" hidden="false" customHeight="false" outlineLevel="0" collapsed="false">
      <c r="A37" s="4" t="s">
        <v>40</v>
      </c>
      <c r="B37" s="21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70"/>
    <col collapsed="false" customWidth="true" hidden="false" outlineLevel="0" max="7" min="7" style="0" width="7"/>
  </cols>
  <sheetData>
    <row r="1" customFormat="false" ht="15" hidden="false" customHeight="false" outlineLevel="0" collapsed="false">
      <c r="A1" s="22" t="s">
        <v>42</v>
      </c>
      <c r="B1" s="23" t="s">
        <v>43</v>
      </c>
      <c r="C1" s="23" t="s">
        <v>44</v>
      </c>
      <c r="D1" s="23" t="s">
        <v>45</v>
      </c>
      <c r="E1" s="23" t="s">
        <v>46</v>
      </c>
      <c r="F1" s="23" t="s">
        <v>47</v>
      </c>
      <c r="G1" s="23" t="s">
        <v>48</v>
      </c>
    </row>
    <row r="2" customFormat="false" ht="15" hidden="false" customHeight="false" outlineLevel="0" collapsed="false">
      <c r="A2" s="2" t="s">
        <v>49</v>
      </c>
      <c r="B2" s="24" t="n">
        <v>388.1</v>
      </c>
      <c r="C2" s="2" t="s">
        <v>50</v>
      </c>
      <c r="D2" s="2" t="s">
        <v>51</v>
      </c>
      <c r="E2" s="25" t="n">
        <v>46322</v>
      </c>
      <c r="F2" s="21" t="s">
        <v>52</v>
      </c>
      <c r="G2" s="26" t="s">
        <v>53</v>
      </c>
    </row>
    <row r="3" customFormat="false" ht="15" hidden="false" customHeight="false" outlineLevel="0" collapsed="false">
      <c r="A3" s="27" t="s">
        <v>54</v>
      </c>
      <c r="B3" s="28" t="n">
        <v>494.958</v>
      </c>
      <c r="C3" s="27" t="s">
        <v>55</v>
      </c>
      <c r="D3" s="27"/>
      <c r="E3" s="29" t="n">
        <v>46203</v>
      </c>
      <c r="F3" s="30" t="s">
        <v>56</v>
      </c>
      <c r="G3" s="31" t="s">
        <v>57</v>
      </c>
    </row>
    <row r="4" customFormat="false" ht="15" hidden="false" customHeight="false" outlineLevel="0" collapsed="false">
      <c r="A4" s="2" t="s">
        <v>58</v>
      </c>
      <c r="B4" s="32" t="n">
        <v>497.687</v>
      </c>
      <c r="C4" s="2" t="s">
        <v>55</v>
      </c>
      <c r="D4" s="2"/>
      <c r="E4" s="25" t="n">
        <v>46078</v>
      </c>
      <c r="F4" s="21" t="s">
        <v>59</v>
      </c>
      <c r="G4" s="26" t="s">
        <v>57</v>
      </c>
    </row>
    <row r="5" customFormat="false" ht="15" hidden="false" customHeight="false" outlineLevel="0" collapsed="false">
      <c r="A5" s="27" t="s">
        <v>60</v>
      </c>
      <c r="B5" s="27" t="s">
        <v>61</v>
      </c>
      <c r="C5" s="27"/>
      <c r="D5" s="27"/>
      <c r="E5" s="29"/>
      <c r="F5" s="30" t="s">
        <v>62</v>
      </c>
      <c r="G5" s="31" t="s">
        <v>57</v>
      </c>
    </row>
    <row r="6" customFormat="false" ht="15" hidden="false" customHeight="false" outlineLevel="0" collapsed="false">
      <c r="A6" s="2" t="s">
        <v>63</v>
      </c>
      <c r="B6" s="2" t="s">
        <v>64</v>
      </c>
      <c r="C6" s="2"/>
      <c r="D6" s="2"/>
      <c r="E6" s="25"/>
      <c r="F6" s="21" t="s">
        <v>65</v>
      </c>
      <c r="G6" s="26" t="s">
        <v>57</v>
      </c>
    </row>
    <row r="7" customFormat="false" ht="15" hidden="false" customHeight="false" outlineLevel="0" collapsed="false">
      <c r="A7" s="27" t="s">
        <v>66</v>
      </c>
      <c r="B7" s="33" t="n">
        <v>375.65</v>
      </c>
      <c r="C7" s="27" t="s">
        <v>50</v>
      </c>
      <c r="D7" s="27" t="s">
        <v>51</v>
      </c>
      <c r="E7" s="29" t="n">
        <v>46308</v>
      </c>
      <c r="F7" s="30" t="s">
        <v>67</v>
      </c>
      <c r="G7" s="31" t="s">
        <v>53</v>
      </c>
    </row>
    <row r="8" customFormat="false" ht="15" hidden="false" customHeight="false" outlineLevel="0" collapsed="false">
      <c r="A8" s="2" t="s">
        <v>68</v>
      </c>
      <c r="B8" s="24" t="n">
        <v>654.7</v>
      </c>
      <c r="C8" s="2" t="s">
        <v>50</v>
      </c>
      <c r="D8" s="2" t="s">
        <v>51</v>
      </c>
      <c r="E8" s="25" t="n">
        <v>46307</v>
      </c>
      <c r="F8" s="21" t="s">
        <v>69</v>
      </c>
      <c r="G8" s="26" t="s">
        <v>53</v>
      </c>
    </row>
    <row r="9" customFormat="false" ht="15" hidden="false" customHeight="false" outlineLevel="0" collapsed="false">
      <c r="A9" s="27" t="s">
        <v>70</v>
      </c>
      <c r="B9" s="34" t="n">
        <v>0.86</v>
      </c>
      <c r="C9" s="27"/>
      <c r="D9" s="27"/>
      <c r="E9" s="29" t="n">
        <v>46235</v>
      </c>
      <c r="F9" s="30" t="s">
        <v>71</v>
      </c>
      <c r="G9" s="31" t="s">
        <v>53</v>
      </c>
    </row>
    <row r="10" customFormat="false" ht="15" hidden="false" customHeight="false" outlineLevel="0" collapsed="false">
      <c r="A10" s="2" t="s">
        <v>72</v>
      </c>
      <c r="B10" s="24" t="n">
        <v>13</v>
      </c>
      <c r="C10" s="2" t="s">
        <v>50</v>
      </c>
      <c r="D10" s="2" t="s">
        <v>51</v>
      </c>
      <c r="E10" s="25" t="n">
        <v>46022</v>
      </c>
      <c r="F10" s="21" t="s">
        <v>73</v>
      </c>
      <c r="G10" s="26" t="s">
        <v>57</v>
      </c>
    </row>
    <row r="11" customFormat="false" ht="15" hidden="false" customHeight="false" outlineLevel="0" collapsed="false">
      <c r="A11" s="27" t="s">
        <v>74</v>
      </c>
      <c r="B11" s="33" t="n">
        <v>5.5</v>
      </c>
      <c r="C11" s="27" t="s">
        <v>50</v>
      </c>
      <c r="D11" s="27" t="s">
        <v>51</v>
      </c>
      <c r="E11" s="29" t="n">
        <v>46230</v>
      </c>
      <c r="F11" s="30" t="s">
        <v>75</v>
      </c>
      <c r="G11" s="31" t="s">
        <v>57</v>
      </c>
    </row>
    <row r="12" customFormat="false" ht="15" hidden="false" customHeight="false" outlineLevel="0" collapsed="false">
      <c r="A12" s="2" t="s">
        <v>76</v>
      </c>
      <c r="B12" s="35" t="n">
        <v>8245</v>
      </c>
      <c r="C12" s="2" t="s">
        <v>55</v>
      </c>
      <c r="D12" s="2" t="s">
        <v>51</v>
      </c>
      <c r="E12" s="25" t="n">
        <v>46203</v>
      </c>
      <c r="F12" s="21" t="s">
        <v>77</v>
      </c>
      <c r="G12" s="26" t="s">
        <v>57</v>
      </c>
    </row>
    <row r="13" customFormat="false" ht="15" hidden="false" customHeight="false" outlineLevel="0" collapsed="false">
      <c r="A13" s="27" t="s">
        <v>78</v>
      </c>
      <c r="B13" s="36" t="n">
        <v>6416</v>
      </c>
      <c r="C13" s="27" t="s">
        <v>55</v>
      </c>
      <c r="D13" s="27" t="s">
        <v>51</v>
      </c>
      <c r="E13" s="29" t="n">
        <v>46203</v>
      </c>
      <c r="F13" s="30" t="s">
        <v>79</v>
      </c>
      <c r="G13" s="31" t="s">
        <v>57</v>
      </c>
    </row>
    <row r="14" customFormat="false" ht="15" hidden="false" customHeight="false" outlineLevel="0" collapsed="false">
      <c r="A14" s="2" t="s">
        <v>80</v>
      </c>
      <c r="B14" s="35" t="n">
        <v>1599</v>
      </c>
      <c r="C14" s="2" t="s">
        <v>55</v>
      </c>
      <c r="D14" s="2" t="s">
        <v>51</v>
      </c>
      <c r="E14" s="25" t="n">
        <v>46203</v>
      </c>
      <c r="F14" s="21" t="s">
        <v>81</v>
      </c>
      <c r="G14" s="26" t="s">
        <v>57</v>
      </c>
    </row>
    <row r="15" customFormat="false" ht="15" hidden="false" customHeight="false" outlineLevel="0" collapsed="false">
      <c r="A15" s="27" t="s">
        <v>82</v>
      </c>
      <c r="B15" s="36" t="n">
        <v>1225</v>
      </c>
      <c r="C15" s="27" t="s">
        <v>55</v>
      </c>
      <c r="D15" s="27" t="s">
        <v>51</v>
      </c>
      <c r="E15" s="29" t="n">
        <v>46203</v>
      </c>
      <c r="F15" s="30" t="s">
        <v>81</v>
      </c>
      <c r="G15" s="31" t="s">
        <v>57</v>
      </c>
    </row>
    <row r="16" customFormat="false" ht="15" hidden="false" customHeight="false" outlineLevel="0" collapsed="false">
      <c r="A16" s="2" t="s">
        <v>83</v>
      </c>
      <c r="B16" s="35" t="n">
        <v>1967</v>
      </c>
      <c r="C16" s="2" t="s">
        <v>55</v>
      </c>
      <c r="D16" s="2" t="s">
        <v>51</v>
      </c>
      <c r="E16" s="25" t="n">
        <v>46203</v>
      </c>
      <c r="F16" s="21" t="s">
        <v>84</v>
      </c>
      <c r="G16" s="26" t="s">
        <v>57</v>
      </c>
    </row>
    <row r="17" customFormat="false" ht="15" hidden="false" customHeight="false" outlineLevel="0" collapsed="false">
      <c r="A17" s="27" t="s">
        <v>85</v>
      </c>
      <c r="B17" s="36" t="n">
        <v>16261</v>
      </c>
      <c r="C17" s="27" t="s">
        <v>55</v>
      </c>
      <c r="D17" s="27" t="s">
        <v>51</v>
      </c>
      <c r="E17" s="29" t="n">
        <v>46203</v>
      </c>
      <c r="F17" s="30" t="s">
        <v>86</v>
      </c>
      <c r="G17" s="31" t="s">
        <v>57</v>
      </c>
    </row>
    <row r="18" customFormat="false" ht="15" hidden="false" customHeight="false" outlineLevel="0" collapsed="false">
      <c r="A18" s="2" t="s">
        <v>87</v>
      </c>
      <c r="B18" s="35" t="n">
        <v>4100</v>
      </c>
      <c r="C18" s="2" t="s">
        <v>55</v>
      </c>
      <c r="D18" s="2" t="s">
        <v>51</v>
      </c>
      <c r="E18" s="25" t="n">
        <v>46203</v>
      </c>
      <c r="F18" s="21" t="s">
        <v>88</v>
      </c>
      <c r="G18" s="26" t="s">
        <v>57</v>
      </c>
    </row>
    <row r="19" customFormat="false" ht="15" hidden="false" customHeight="false" outlineLevel="0" collapsed="false">
      <c r="A19" s="27" t="s">
        <v>89</v>
      </c>
      <c r="B19" s="37" t="n">
        <v>3.37</v>
      </c>
      <c r="C19" s="27" t="s">
        <v>90</v>
      </c>
      <c r="D19" s="27"/>
      <c r="E19" s="29" t="n">
        <v>46321</v>
      </c>
      <c r="F19" s="30" t="s">
        <v>91</v>
      </c>
      <c r="G19" s="31" t="s">
        <v>53</v>
      </c>
    </row>
    <row r="20" customFormat="false" ht="15" hidden="false" customHeight="false" outlineLevel="0" collapsed="false">
      <c r="A20" s="2" t="s">
        <v>92</v>
      </c>
      <c r="B20" s="38" t="n">
        <v>4.93</v>
      </c>
      <c r="C20" s="2" t="s">
        <v>90</v>
      </c>
      <c r="D20" s="2"/>
      <c r="E20" s="25" t="n">
        <v>46321</v>
      </c>
      <c r="F20" s="21" t="s">
        <v>93</v>
      </c>
      <c r="G20" s="26" t="s">
        <v>53</v>
      </c>
    </row>
    <row r="21" customFormat="false" ht="15" hidden="false" customHeight="false" outlineLevel="0" collapsed="false">
      <c r="A21" s="27" t="s">
        <v>94</v>
      </c>
      <c r="B21" s="37" t="n">
        <v>5.5</v>
      </c>
      <c r="C21" s="27" t="s">
        <v>90</v>
      </c>
      <c r="D21" s="27"/>
      <c r="E21" s="29" t="n">
        <v>46296</v>
      </c>
      <c r="F21" s="30" t="s">
        <v>95</v>
      </c>
      <c r="G21" s="31" t="s">
        <v>57</v>
      </c>
    </row>
    <row r="22" customFormat="false" ht="15" hidden="false" customHeight="false" outlineLevel="0" collapsed="false">
      <c r="A22" s="2" t="s">
        <v>96</v>
      </c>
      <c r="B22" s="39" t="n">
        <v>3.375</v>
      </c>
      <c r="C22" s="2" t="s">
        <v>90</v>
      </c>
      <c r="D22" s="2"/>
      <c r="E22" s="25" t="n">
        <v>46076</v>
      </c>
      <c r="F22" s="21" t="s">
        <v>97</v>
      </c>
      <c r="G22" s="26" t="s">
        <v>57</v>
      </c>
    </row>
    <row r="23" customFormat="false" ht="15" hidden="false" customHeight="false" outlineLevel="0" collapsed="false">
      <c r="A23" s="27" t="s">
        <v>98</v>
      </c>
      <c r="B23" s="27" t="s">
        <v>99</v>
      </c>
      <c r="C23" s="27"/>
      <c r="D23" s="27"/>
      <c r="E23" s="29"/>
      <c r="F23" s="30" t="s">
        <v>100</v>
      </c>
      <c r="G23" s="31" t="s">
        <v>57</v>
      </c>
    </row>
    <row r="24" customFormat="false" ht="15" hidden="false" customHeight="false" outlineLevel="0" collapsed="false">
      <c r="A24" s="2" t="s">
        <v>101</v>
      </c>
      <c r="B24" s="2" t="s">
        <v>102</v>
      </c>
      <c r="C24" s="2"/>
      <c r="D24" s="2"/>
      <c r="E24" s="25"/>
      <c r="F24" s="21" t="s">
        <v>103</v>
      </c>
      <c r="G24" s="26" t="s">
        <v>57</v>
      </c>
    </row>
    <row r="25" customFormat="false" ht="15" hidden="false" customHeight="false" outlineLevel="0" collapsed="false">
      <c r="A25" s="27" t="s">
        <v>104</v>
      </c>
      <c r="B25" s="33" t="n">
        <v>491.54</v>
      </c>
      <c r="C25" s="27" t="s">
        <v>50</v>
      </c>
      <c r="D25" s="27" t="s">
        <v>51</v>
      </c>
      <c r="E25" s="29" t="n">
        <v>46321</v>
      </c>
      <c r="F25" s="30" t="s">
        <v>105</v>
      </c>
      <c r="G25" s="31" t="s">
        <v>53</v>
      </c>
    </row>
    <row r="26" customFormat="false" ht="15" hidden="false" customHeight="false" outlineLevel="0" collapsed="false">
      <c r="A26" s="2" t="s">
        <v>106</v>
      </c>
      <c r="B26" s="24" t="n">
        <v>415</v>
      </c>
      <c r="C26" s="2" t="s">
        <v>50</v>
      </c>
      <c r="D26" s="2" t="s">
        <v>51</v>
      </c>
      <c r="E26" s="25" t="n">
        <v>46321</v>
      </c>
      <c r="F26" s="21" t="s">
        <v>107</v>
      </c>
      <c r="G26" s="26" t="s">
        <v>53</v>
      </c>
    </row>
    <row r="27" customFormat="false" ht="15" hidden="false" customHeight="false" outlineLevel="0" collapsed="false">
      <c r="A27" s="27" t="s">
        <v>108</v>
      </c>
      <c r="B27" s="33" t="n">
        <v>590</v>
      </c>
      <c r="C27" s="27" t="s">
        <v>50</v>
      </c>
      <c r="D27" s="27" t="s">
        <v>51</v>
      </c>
      <c r="E27" s="29" t="n">
        <v>46321</v>
      </c>
      <c r="F27" s="30" t="s">
        <v>109</v>
      </c>
      <c r="G27" s="31" t="s">
        <v>53</v>
      </c>
    </row>
    <row r="28" customFormat="false" ht="15" hidden="false" customHeight="false" outlineLevel="0" collapsed="false">
      <c r="A28" s="2" t="s">
        <v>110</v>
      </c>
      <c r="B28" s="40" t="n">
        <v>1.1216</v>
      </c>
      <c r="C28" s="2" t="s">
        <v>111</v>
      </c>
      <c r="D28" s="2"/>
      <c r="E28" s="25" t="n">
        <v>46315</v>
      </c>
      <c r="F28" s="21" t="s">
        <v>112</v>
      </c>
      <c r="G28" s="26" t="s">
        <v>53</v>
      </c>
    </row>
    <row r="29" customFormat="false" ht="15" hidden="false" customHeight="false" outlineLevel="0" collapsed="false">
      <c r="A29" s="27" t="s">
        <v>113</v>
      </c>
      <c r="B29" s="41" t="n">
        <v>0.9396</v>
      </c>
      <c r="C29" s="27" t="s">
        <v>114</v>
      </c>
      <c r="D29" s="27"/>
      <c r="E29" s="29" t="n">
        <v>46266</v>
      </c>
      <c r="F29" s="30" t="s">
        <v>115</v>
      </c>
      <c r="G29" s="31" t="s">
        <v>53</v>
      </c>
    </row>
    <row r="30" customFormat="false" ht="15" hidden="false" customHeight="false" outlineLevel="0" collapsed="false">
      <c r="A30" s="2" t="s">
        <v>116</v>
      </c>
      <c r="B30" s="42" t="n">
        <v>7.8</v>
      </c>
      <c r="C30" s="2" t="s">
        <v>117</v>
      </c>
      <c r="D30" s="2"/>
      <c r="E30" s="25"/>
      <c r="F30" s="21" t="s">
        <v>118</v>
      </c>
      <c r="G30" s="26" t="s">
        <v>57</v>
      </c>
    </row>
    <row r="32" customFormat="false" ht="15" hidden="false" customHeight="false" outlineLevel="0" collapsed="false">
      <c r="A32" s="4" t="s">
        <v>119</v>
      </c>
    </row>
    <row r="33" customFormat="false" ht="15" hidden="false" customHeight="false" outlineLevel="0" collapsed="false">
      <c r="A33" s="21" t="s">
        <v>120</v>
      </c>
    </row>
    <row r="34" customFormat="false" ht="15" hidden="false" customHeight="false" outlineLevel="0" collapsed="false">
      <c r="A34" s="21" t="s">
        <v>121</v>
      </c>
    </row>
    <row r="35" customFormat="false" ht="15" hidden="false" customHeight="false" outlineLevel="0" collapsed="false">
      <c r="A35" s="21" t="s">
        <v>122</v>
      </c>
    </row>
    <row r="36" customFormat="false" ht="15" hidden="false" customHeight="false" outlineLevel="0" collapsed="false">
      <c r="A36" s="21" t="s">
        <v>123</v>
      </c>
    </row>
    <row r="37" customFormat="false" ht="15" hidden="false" customHeight="false" outlineLevel="0" collapsed="false">
      <c r="A37" s="21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0"/>
    <col collapsed="false" customWidth="true" hidden="false" outlineLevel="0" max="8" min="8" style="0" width="88"/>
  </cols>
  <sheetData>
    <row r="1" customFormat="false" ht="16.15" hidden="false" customHeight="false" outlineLevel="0" collapsed="false">
      <c r="B1" s="43" t="s">
        <v>125</v>
      </c>
    </row>
    <row r="3" customFormat="false" ht="15" hidden="false" customHeight="false" outlineLevel="0" collapsed="false">
      <c r="A3" s="22" t="s">
        <v>126</v>
      </c>
      <c r="B3" s="23" t="s">
        <v>127</v>
      </c>
      <c r="C3" s="23" t="s">
        <v>128</v>
      </c>
      <c r="D3" s="23" t="s">
        <v>129</v>
      </c>
      <c r="E3" s="23" t="s">
        <v>130</v>
      </c>
      <c r="F3" s="23" t="s">
        <v>131</v>
      </c>
      <c r="G3" s="23" t="s">
        <v>132</v>
      </c>
      <c r="H3" s="23" t="s">
        <v>133</v>
      </c>
    </row>
    <row r="4" customFormat="false" ht="15" hidden="false" customHeight="false" outlineLevel="0" collapsed="false">
      <c r="A4" s="8" t="s">
        <v>134</v>
      </c>
    </row>
    <row r="5" customFormat="false" ht="15" hidden="false" customHeight="false" outlineLevel="0" collapsed="false">
      <c r="A5" s="2" t="s">
        <v>135</v>
      </c>
      <c r="B5" s="19" t="n">
        <f aca="false">DCF!C5/DCF!B5-1</f>
        <v>0.0339772303098171</v>
      </c>
      <c r="C5" s="10" t="n">
        <v>0.03</v>
      </c>
      <c r="D5" s="10" t="n">
        <v>0.04</v>
      </c>
      <c r="E5" s="10" t="n">
        <v>0.04</v>
      </c>
      <c r="F5" s="10" t="n">
        <v>0.04</v>
      </c>
      <c r="G5" s="10" t="n">
        <v>0.04</v>
      </c>
      <c r="H5" s="21" t="s">
        <v>136</v>
      </c>
    </row>
    <row r="6" customFormat="false" ht="15" hidden="false" customHeight="false" outlineLevel="0" collapsed="false">
      <c r="A6" s="2" t="s">
        <v>137</v>
      </c>
      <c r="B6" s="19" t="n">
        <f aca="false">DCF!C6/DCF!B6-1</f>
        <v>-0.0430595710881653</v>
      </c>
      <c r="C6" s="10" t="n">
        <v>0.01</v>
      </c>
      <c r="D6" s="10" t="n">
        <v>0.05</v>
      </c>
      <c r="E6" s="10" t="n">
        <v>0.06</v>
      </c>
      <c r="F6" s="10" t="n">
        <v>0.06</v>
      </c>
      <c r="G6" s="10" t="n">
        <v>0.05</v>
      </c>
      <c r="H6" s="21" t="s">
        <v>138</v>
      </c>
    </row>
    <row r="7" customFormat="false" ht="15" hidden="false" customHeight="false" outlineLevel="0" collapsed="false">
      <c r="A7" s="2" t="s">
        <v>139</v>
      </c>
      <c r="B7" s="19" t="n">
        <f aca="false">DCF!C7/DCF!B7-1</f>
        <v>-0.00921458282358689</v>
      </c>
      <c r="C7" s="10" t="n">
        <v>0.03</v>
      </c>
      <c r="D7" s="10" t="n">
        <v>0.04</v>
      </c>
      <c r="E7" s="10" t="n">
        <v>0.04</v>
      </c>
      <c r="F7" s="10" t="n">
        <v>0.04</v>
      </c>
      <c r="G7" s="10" t="n">
        <v>0.04</v>
      </c>
      <c r="H7" s="21" t="s">
        <v>140</v>
      </c>
    </row>
    <row r="8" customFormat="false" ht="15" hidden="false" customHeight="false" outlineLevel="0" collapsed="false">
      <c r="A8" s="2" t="s">
        <v>141</v>
      </c>
      <c r="B8" s="19" t="n">
        <f aca="false">DCF!C8/DCF!B8-1</f>
        <v>0.0506761396147244</v>
      </c>
      <c r="C8" s="10" t="n">
        <v>0.06</v>
      </c>
      <c r="D8" s="10" t="n">
        <v>0.06</v>
      </c>
      <c r="E8" s="10" t="n">
        <v>0.06</v>
      </c>
      <c r="F8" s="10" t="n">
        <v>0.05</v>
      </c>
      <c r="G8" s="10" t="n">
        <v>0.05</v>
      </c>
      <c r="H8" s="21" t="s">
        <v>142</v>
      </c>
    </row>
    <row r="9" customFormat="false" ht="15" hidden="false" customHeight="false" outlineLevel="0" collapsed="false">
      <c r="A9" s="2" t="s">
        <v>143</v>
      </c>
      <c r="B9" s="19" t="n">
        <f aca="false">DCF!C9/DCF!B9-1</f>
        <v>-0.00121539132330495</v>
      </c>
      <c r="C9" s="10" t="n">
        <v>0.02</v>
      </c>
      <c r="D9" s="10" t="n">
        <v>0.05</v>
      </c>
      <c r="E9" s="10" t="n">
        <v>0.05</v>
      </c>
      <c r="F9" s="10" t="n">
        <v>0.05</v>
      </c>
      <c r="G9" s="10" t="n">
        <v>0.04</v>
      </c>
      <c r="H9" s="21" t="s">
        <v>144</v>
      </c>
    </row>
    <row r="10" customFormat="false" ht="15" hidden="false" customHeight="false" outlineLevel="0" collapsed="false">
      <c r="A10" s="2" t="s">
        <v>145</v>
      </c>
      <c r="B10" s="19" t="n">
        <f aca="false">DCF!C10/DCF!B10-1</f>
        <v>0.15946348733234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21" t="s">
        <v>146</v>
      </c>
    </row>
    <row r="11" customFormat="false" ht="15" hidden="false" customHeight="false" outlineLevel="0" collapsed="false">
      <c r="A11" s="11" t="s">
        <v>147</v>
      </c>
      <c r="B11" s="44" t="n">
        <f aca="false">DCF!C11/DCF!B11-1</f>
        <v>-0.011181457051988</v>
      </c>
      <c r="C11" s="44" t="n">
        <f aca="false">DCF!D11/DCF!C11-1</f>
        <v>0.0225041030763873</v>
      </c>
      <c r="D11" s="44" t="n">
        <f aca="false">DCF!E11/DCF!D11-1</f>
        <v>0.0492338635599345</v>
      </c>
      <c r="E11" s="44" t="n">
        <f aca="false">DCF!F11/DCF!E11-1</f>
        <v>0.053757363604179</v>
      </c>
      <c r="F11" s="44" t="n">
        <f aca="false">DCF!G11/DCF!F11-1</f>
        <v>0.0523851850821857</v>
      </c>
      <c r="G11" s="44" t="n">
        <f aca="false">DCF!H11/DCF!G11-1</f>
        <v>0.045652367669587</v>
      </c>
    </row>
    <row r="12" customFormat="false" ht="15" hidden="false" customHeight="false" outlineLevel="0" collapsed="false">
      <c r="A12" s="8" t="s">
        <v>148</v>
      </c>
    </row>
    <row r="13" customFormat="false" ht="15" hidden="false" customHeight="false" outlineLevel="0" collapsed="false">
      <c r="A13" s="2" t="s">
        <v>149</v>
      </c>
      <c r="B13" s="10" t="n">
        <v>0.205</v>
      </c>
      <c r="C13" s="10" t="n">
        <v>0.21</v>
      </c>
      <c r="D13" s="10" t="n">
        <v>0.22</v>
      </c>
      <c r="E13" s="10" t="n">
        <v>0.23</v>
      </c>
      <c r="F13" s="10" t="n">
        <v>0.24</v>
      </c>
      <c r="G13" s="10" t="n">
        <v>0.24</v>
      </c>
      <c r="H13" s="21" t="s">
        <v>150</v>
      </c>
    </row>
    <row r="14" customFormat="false" ht="15" hidden="false" customHeight="false" outlineLevel="0" collapsed="false">
      <c r="A14" s="2" t="s">
        <v>151</v>
      </c>
      <c r="B14" s="10" t="n">
        <v>0.34</v>
      </c>
      <c r="C14" s="10" t="n">
        <v>0.34</v>
      </c>
      <c r="D14" s="10" t="n">
        <v>0.35</v>
      </c>
      <c r="E14" s="10" t="n">
        <v>0.36</v>
      </c>
      <c r="F14" s="10" t="n">
        <v>0.365</v>
      </c>
      <c r="G14" s="10" t="n">
        <v>0.365</v>
      </c>
      <c r="H14" s="21" t="s">
        <v>152</v>
      </c>
    </row>
    <row r="15" customFormat="false" ht="15" hidden="false" customHeight="false" outlineLevel="0" collapsed="false">
      <c r="A15" s="2" t="s">
        <v>153</v>
      </c>
      <c r="B15" s="10" t="n">
        <v>0.095</v>
      </c>
      <c r="C15" s="10" t="n">
        <v>0.095</v>
      </c>
      <c r="D15" s="10" t="n">
        <v>0.1</v>
      </c>
      <c r="E15" s="10" t="n">
        <v>0.105</v>
      </c>
      <c r="F15" s="10" t="n">
        <v>0.11</v>
      </c>
      <c r="G15" s="10" t="n">
        <v>0.11</v>
      </c>
      <c r="H15" s="21" t="s">
        <v>154</v>
      </c>
    </row>
    <row r="16" customFormat="false" ht="15" hidden="false" customHeight="false" outlineLevel="0" collapsed="false">
      <c r="A16" s="2" t="s">
        <v>155</v>
      </c>
      <c r="B16" s="10" t="n">
        <v>0.15</v>
      </c>
      <c r="C16" s="10" t="n">
        <v>0.155</v>
      </c>
      <c r="D16" s="10" t="n">
        <v>0.165</v>
      </c>
      <c r="E16" s="10" t="n">
        <v>0.175</v>
      </c>
      <c r="F16" s="10" t="n">
        <v>0.18</v>
      </c>
      <c r="G16" s="10" t="n">
        <v>0.18</v>
      </c>
      <c r="H16" s="21" t="s">
        <v>156</v>
      </c>
    </row>
    <row r="17" customFormat="false" ht="15" hidden="false" customHeight="false" outlineLevel="0" collapsed="false">
      <c r="A17" s="2" t="s">
        <v>157</v>
      </c>
      <c r="B17" s="10" t="n">
        <v>0.1</v>
      </c>
      <c r="C17" s="10" t="n">
        <v>0.1</v>
      </c>
      <c r="D17" s="10" t="n">
        <v>0.105</v>
      </c>
      <c r="E17" s="10" t="n">
        <v>0.105</v>
      </c>
      <c r="F17" s="10" t="n">
        <v>0.11</v>
      </c>
      <c r="G17" s="10" t="n">
        <v>0.11</v>
      </c>
      <c r="H17" s="21" t="s">
        <v>158</v>
      </c>
    </row>
    <row r="18" customFormat="false" ht="15" hidden="false" customHeight="false" outlineLevel="0" collapsed="false">
      <c r="A18" s="2" t="s">
        <v>159</v>
      </c>
      <c r="B18" s="45" t="n">
        <v>-480</v>
      </c>
      <c r="C18" s="45" t="n">
        <v>-480</v>
      </c>
      <c r="D18" s="45" t="n">
        <v>-490</v>
      </c>
      <c r="E18" s="45" t="n">
        <v>-500</v>
      </c>
      <c r="F18" s="45" t="n">
        <v>-510</v>
      </c>
      <c r="G18" s="45" t="n">
        <v>-520</v>
      </c>
      <c r="H18" s="21" t="s">
        <v>160</v>
      </c>
    </row>
    <row r="19" customFormat="false" ht="15" hidden="false" customHeight="false" outlineLevel="0" collapsed="false">
      <c r="A19" s="8" t="s">
        <v>161</v>
      </c>
    </row>
    <row r="20" customFormat="false" ht="15" hidden="false" customHeight="false" outlineLevel="0" collapsed="false">
      <c r="A20" s="2" t="s">
        <v>162</v>
      </c>
      <c r="B20" s="10" t="n">
        <v>0.056</v>
      </c>
      <c r="C20" s="10" t="n">
        <v>0.056</v>
      </c>
      <c r="D20" s="10" t="n">
        <v>0.056</v>
      </c>
      <c r="E20" s="10" t="n">
        <v>0.056</v>
      </c>
      <c r="F20" s="10" t="n">
        <v>0.056</v>
      </c>
      <c r="G20" s="10" t="n">
        <v>0.056</v>
      </c>
      <c r="H20" s="21" t="s">
        <v>163</v>
      </c>
    </row>
    <row r="21" customFormat="false" ht="15" hidden="false" customHeight="false" outlineLevel="0" collapsed="false">
      <c r="A21" s="2" t="s">
        <v>164</v>
      </c>
      <c r="B21" s="10" t="n">
        <v>0.055</v>
      </c>
      <c r="C21" s="10" t="n">
        <v>0.058</v>
      </c>
      <c r="D21" s="10" t="n">
        <v>0.06</v>
      </c>
      <c r="E21" s="10" t="n">
        <v>0.06</v>
      </c>
      <c r="F21" s="10" t="n">
        <v>0.06</v>
      </c>
      <c r="G21" s="10" t="n">
        <v>0.06</v>
      </c>
      <c r="H21" s="21" t="s">
        <v>165</v>
      </c>
    </row>
    <row r="22" customFormat="false" ht="15" hidden="false" customHeight="false" outlineLevel="0" collapsed="false">
      <c r="A22" s="2" t="s">
        <v>166</v>
      </c>
      <c r="B22" s="10" t="n">
        <v>-0.01</v>
      </c>
      <c r="C22" s="10" t="n">
        <v>-0.008</v>
      </c>
      <c r="D22" s="10" t="n">
        <v>-0.008</v>
      </c>
      <c r="E22" s="10" t="n">
        <v>-0.008</v>
      </c>
      <c r="F22" s="10" t="n">
        <v>-0.008</v>
      </c>
      <c r="G22" s="10" t="n">
        <v>-0.008</v>
      </c>
      <c r="H22" s="21" t="s">
        <v>167</v>
      </c>
    </row>
    <row r="23" customFormat="false" ht="15" hidden="false" customHeight="false" outlineLevel="0" collapsed="false">
      <c r="A23" s="2" t="s">
        <v>168</v>
      </c>
      <c r="B23" s="10" t="n">
        <v>0.005</v>
      </c>
      <c r="C23" s="10" t="n">
        <v>0.005</v>
      </c>
      <c r="D23" s="10" t="n">
        <v>0.005</v>
      </c>
      <c r="E23" s="10" t="n">
        <v>0.005</v>
      </c>
      <c r="F23" s="10" t="n">
        <v>0.005</v>
      </c>
      <c r="G23" s="10" t="n">
        <v>0.005</v>
      </c>
      <c r="H23" s="21" t="s">
        <v>169</v>
      </c>
    </row>
    <row r="24" customFormat="false" ht="15" hidden="false" customHeight="false" outlineLevel="0" collapsed="false">
      <c r="A24" s="2" t="s">
        <v>170</v>
      </c>
      <c r="B24" s="10" t="n">
        <v>0.3</v>
      </c>
      <c r="C24" s="10" t="n">
        <v>0.27</v>
      </c>
      <c r="D24" s="10" t="n">
        <v>0.27</v>
      </c>
      <c r="E24" s="10" t="n">
        <v>0.27</v>
      </c>
      <c r="F24" s="10" t="n">
        <v>0.27</v>
      </c>
      <c r="G24" s="10" t="n">
        <v>0.27</v>
      </c>
      <c r="H24" s="21" t="s">
        <v>171</v>
      </c>
    </row>
    <row r="25" customFormat="false" ht="15" hidden="false" customHeight="false" outlineLevel="0" collapsed="false">
      <c r="A25" s="8" t="s">
        <v>172</v>
      </c>
    </row>
    <row r="26" customFormat="false" ht="15" hidden="false" customHeight="false" outlineLevel="0" collapsed="false">
      <c r="A26" s="2" t="s">
        <v>173</v>
      </c>
      <c r="B26" s="5" t="n">
        <f aca="false">Data!$B$11</f>
        <v>5.5</v>
      </c>
      <c r="C26" s="46" t="n">
        <v>13</v>
      </c>
      <c r="D26" s="46" t="n">
        <v>13.5</v>
      </c>
      <c r="E26" s="46" t="n">
        <v>14</v>
      </c>
      <c r="F26" s="46" t="n">
        <v>14.5</v>
      </c>
      <c r="G26" s="46" t="n">
        <v>15</v>
      </c>
      <c r="H26" s="21" t="s">
        <v>174</v>
      </c>
    </row>
    <row r="27" customFormat="false" ht="15" hidden="false" customHeight="false" outlineLevel="0" collapsed="false">
      <c r="A27" s="2" t="s">
        <v>175</v>
      </c>
      <c r="B27" s="45" t="n">
        <v>500</v>
      </c>
      <c r="C27" s="45" t="n">
        <v>1500</v>
      </c>
      <c r="D27" s="45" t="n">
        <v>1500</v>
      </c>
      <c r="E27" s="45" t="n">
        <v>1500</v>
      </c>
      <c r="F27" s="45" t="n">
        <v>1500</v>
      </c>
      <c r="G27" s="45" t="n">
        <v>1500</v>
      </c>
      <c r="H27" s="21" t="s">
        <v>176</v>
      </c>
    </row>
    <row r="28" customFormat="false" ht="15" hidden="false" customHeight="false" outlineLevel="0" collapsed="false">
      <c r="A28" s="2" t="s">
        <v>177</v>
      </c>
      <c r="B28" s="45" t="n">
        <v>125</v>
      </c>
      <c r="C28" s="45" t="n">
        <v>250</v>
      </c>
      <c r="D28" s="45" t="n">
        <v>250</v>
      </c>
      <c r="E28" s="45" t="n">
        <v>250</v>
      </c>
      <c r="F28" s="45" t="n">
        <v>250</v>
      </c>
      <c r="G28" s="45" t="n">
        <v>250</v>
      </c>
      <c r="H28" s="21" t="s">
        <v>178</v>
      </c>
    </row>
    <row r="29" customFormat="false" ht="15" hidden="false" customHeight="false" outlineLevel="0" collapsed="false">
      <c r="A29" s="8" t="s">
        <v>179</v>
      </c>
    </row>
    <row r="30" customFormat="false" ht="15" hidden="false" customHeight="false" outlineLevel="0" collapsed="false">
      <c r="A30" s="2" t="s">
        <v>180</v>
      </c>
      <c r="B30" s="10" t="n">
        <v>0.025</v>
      </c>
      <c r="H30" s="21" t="s">
        <v>181</v>
      </c>
    </row>
    <row r="31" customFormat="false" ht="15" hidden="false" customHeight="false" outlineLevel="0" collapsed="false">
      <c r="A31" s="2" t="s">
        <v>182</v>
      </c>
      <c r="B31" s="47" t="n">
        <v>11</v>
      </c>
      <c r="H31" s="21" t="s">
        <v>183</v>
      </c>
    </row>
    <row r="32" customFormat="false" ht="15" hidden="false" customHeight="false" outlineLevel="0" collapsed="false">
      <c r="A32" s="8" t="s">
        <v>184</v>
      </c>
    </row>
    <row r="33" customFormat="false" ht="15" hidden="false" customHeight="false" outlineLevel="0" collapsed="false">
      <c r="A33" s="2" t="s">
        <v>185</v>
      </c>
      <c r="B33" s="45" t="n">
        <v>-300</v>
      </c>
      <c r="H33" s="21" t="s">
        <v>186</v>
      </c>
    </row>
    <row r="34" customFormat="false" ht="15" hidden="false" customHeight="false" outlineLevel="0" collapsed="false">
      <c r="A34" s="2" t="s">
        <v>187</v>
      </c>
      <c r="B34" s="45" t="n">
        <v>-300</v>
      </c>
      <c r="H34" s="21" t="s">
        <v>188</v>
      </c>
    </row>
    <row r="35" customFormat="false" ht="15" hidden="false" customHeight="false" outlineLevel="0" collapsed="false">
      <c r="A35" s="2" t="s">
        <v>189</v>
      </c>
      <c r="B35" s="45" t="n">
        <v>-600</v>
      </c>
      <c r="H35" s="21" t="s">
        <v>190</v>
      </c>
    </row>
    <row r="37" customFormat="false" ht="15" hidden="false" customHeight="false" outlineLevel="0" collapsed="false">
      <c r="A37" s="21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2"/>
    <col collapsed="false" customWidth="true" hidden="false" outlineLevel="0" max="7" min="7" style="0" width="40"/>
  </cols>
  <sheetData>
    <row r="1" customFormat="false" ht="16.15" hidden="false" customHeight="false" outlineLevel="0" collapsed="false">
      <c r="B1" s="43" t="s">
        <v>192</v>
      </c>
    </row>
    <row r="3" customFormat="false" ht="15" hidden="false" customHeight="false" outlineLevel="0" collapsed="false">
      <c r="A3" s="22" t="s">
        <v>193</v>
      </c>
      <c r="B3" s="23" t="s">
        <v>194</v>
      </c>
      <c r="C3" s="23" t="s">
        <v>195</v>
      </c>
      <c r="D3" s="23" t="s">
        <v>196</v>
      </c>
      <c r="E3" s="23" t="s">
        <v>197</v>
      </c>
      <c r="F3" s="23" t="s">
        <v>198</v>
      </c>
    </row>
    <row r="4" customFormat="false" ht="15" hidden="false" customHeight="false" outlineLevel="0" collapsed="false">
      <c r="A4" s="2" t="s">
        <v>199</v>
      </c>
      <c r="B4" s="35" t="n">
        <v>86153</v>
      </c>
      <c r="C4" s="35" t="n">
        <v>84683</v>
      </c>
      <c r="D4" s="35" t="n">
        <v>80807</v>
      </c>
      <c r="E4" s="35" t="n">
        <v>39810</v>
      </c>
      <c r="F4" s="35" t="n">
        <v>38644</v>
      </c>
    </row>
    <row r="5" customFormat="false" ht="15" hidden="false" customHeight="false" outlineLevel="0" collapsed="false">
      <c r="A5" s="2" t="s">
        <v>200</v>
      </c>
      <c r="B5" s="35" t="n">
        <v>-26876</v>
      </c>
      <c r="C5" s="35" t="n">
        <v>-27918</v>
      </c>
      <c r="D5" s="35" t="n">
        <v>-27279</v>
      </c>
      <c r="E5" s="35" t="n">
        <v>-13200</v>
      </c>
      <c r="F5" s="35" t="n">
        <v>-12708</v>
      </c>
    </row>
    <row r="6" customFormat="false" ht="15" hidden="false" customHeight="false" outlineLevel="0" collapsed="false">
      <c r="A6" s="13" t="s">
        <v>201</v>
      </c>
      <c r="B6" s="48" t="n">
        <f aca="false">B4+B5</f>
        <v>59277</v>
      </c>
      <c r="C6" s="48" t="n">
        <f aca="false">C4+C5</f>
        <v>56765</v>
      </c>
      <c r="D6" s="48" t="n">
        <f aca="false">D4+D5</f>
        <v>53528</v>
      </c>
      <c r="E6" s="48" t="n">
        <f aca="false">E4+E5</f>
        <v>26610</v>
      </c>
      <c r="F6" s="48" t="n">
        <f aca="false">F4+F5</f>
        <v>25936</v>
      </c>
    </row>
    <row r="7" customFormat="false" ht="15" hidden="false" customHeight="false" outlineLevel="0" collapsed="false">
      <c r="A7" s="2" t="s">
        <v>202</v>
      </c>
      <c r="B7" s="35" t="n">
        <v>-30768</v>
      </c>
      <c r="C7" s="35" t="n">
        <v>-31002</v>
      </c>
      <c r="D7" s="35" t="n">
        <v>-29914</v>
      </c>
      <c r="E7" s="35" t="n">
        <v>-14732</v>
      </c>
      <c r="F7" s="35" t="n">
        <v>-14392</v>
      </c>
    </row>
    <row r="8" customFormat="false" ht="15" hidden="false" customHeight="false" outlineLevel="0" collapsed="false">
      <c r="A8" s="2" t="s">
        <v>203</v>
      </c>
      <c r="B8" s="35" t="n">
        <v>-5714</v>
      </c>
      <c r="C8" s="35" t="n">
        <v>-6220</v>
      </c>
      <c r="D8" s="35" t="n">
        <v>-5934</v>
      </c>
      <c r="E8" s="35" t="n">
        <v>-2889</v>
      </c>
      <c r="F8" s="35" t="n">
        <v>-2876</v>
      </c>
    </row>
    <row r="9" customFormat="false" ht="15" hidden="false" customHeight="false" outlineLevel="0" collapsed="false">
      <c r="A9" s="2" t="s">
        <v>204</v>
      </c>
      <c r="B9" s="35" t="n">
        <v>7</v>
      </c>
      <c r="C9" s="35" t="n">
        <v>28</v>
      </c>
      <c r="D9" s="35" t="n">
        <v>75</v>
      </c>
      <c r="E9" s="35" t="n">
        <v>23</v>
      </c>
      <c r="F9" s="35" t="n">
        <v>23</v>
      </c>
    </row>
    <row r="10" customFormat="false" ht="15" hidden="false" customHeight="false" outlineLevel="0" collapsed="false">
      <c r="A10" s="13" t="s">
        <v>205</v>
      </c>
      <c r="B10" s="48" t="n">
        <f aca="false">B6+B7+B8+B9</f>
        <v>22802</v>
      </c>
      <c r="C10" s="48" t="n">
        <f aca="false">C6+C7+C8+C9</f>
        <v>19571</v>
      </c>
      <c r="D10" s="48" t="n">
        <f aca="false">D6+D7+D8+D9</f>
        <v>17755</v>
      </c>
      <c r="E10" s="48" t="n">
        <f aca="false">E6+E7+E8+E9</f>
        <v>9012</v>
      </c>
      <c r="F10" s="48" t="n">
        <f aca="false">F6+F7+F8+F9</f>
        <v>8691</v>
      </c>
    </row>
    <row r="11" customFormat="false" ht="15" hidden="false" customHeight="false" outlineLevel="0" collapsed="false">
      <c r="A11" s="2" t="s">
        <v>206</v>
      </c>
      <c r="B11" s="35" t="n">
        <v>-242</v>
      </c>
      <c r="C11" s="35" t="n">
        <v>-664</v>
      </c>
      <c r="D11" s="35" t="n">
        <v>-656</v>
      </c>
      <c r="E11" s="35" t="n">
        <v>-14</v>
      </c>
      <c r="F11" s="35" t="n">
        <v>23</v>
      </c>
    </row>
    <row r="12" customFormat="false" ht="15" hidden="false" customHeight="false" outlineLevel="0" collapsed="false">
      <c r="A12" s="13" t="s">
        <v>207</v>
      </c>
      <c r="B12" s="48" t="n">
        <f aca="false">B10+B11</f>
        <v>22560</v>
      </c>
      <c r="C12" s="48" t="n">
        <f aca="false">C10+C11</f>
        <v>18907</v>
      </c>
      <c r="D12" s="48" t="n">
        <f aca="false">D10+D11</f>
        <v>17099</v>
      </c>
      <c r="E12" s="48" t="n">
        <f aca="false">E10+E11</f>
        <v>8998</v>
      </c>
      <c r="F12" s="48" t="n">
        <f aca="false">F10+F11</f>
        <v>8714</v>
      </c>
    </row>
    <row r="13" customFormat="false" ht="15" hidden="false" customHeight="false" outlineLevel="0" collapsed="false">
      <c r="A13" s="2" t="s">
        <v>208</v>
      </c>
      <c r="B13" s="35" t="n">
        <v>-367</v>
      </c>
      <c r="C13" s="35" t="n">
        <v>-442</v>
      </c>
      <c r="D13" s="35" t="n">
        <v>-348</v>
      </c>
      <c r="E13" s="35" t="n">
        <v>-211</v>
      </c>
      <c r="F13" s="35" t="n">
        <v>-192</v>
      </c>
    </row>
    <row r="14" customFormat="false" ht="15" hidden="false" customHeight="false" outlineLevel="0" collapsed="false">
      <c r="A14" s="2" t="s">
        <v>209</v>
      </c>
      <c r="B14" s="35" t="n">
        <v>-393</v>
      </c>
      <c r="C14" s="35" t="n">
        <v>-510</v>
      </c>
      <c r="D14" s="35" t="n">
        <v>-553</v>
      </c>
      <c r="E14" s="35" t="n">
        <v>-278</v>
      </c>
      <c r="F14" s="35" t="n">
        <v>-261</v>
      </c>
    </row>
    <row r="15" customFormat="false" ht="15" hidden="false" customHeight="false" outlineLevel="0" collapsed="false">
      <c r="A15" s="2" t="s">
        <v>210</v>
      </c>
      <c r="B15" s="35" t="n">
        <v>-175</v>
      </c>
      <c r="C15" s="35" t="n">
        <v>160</v>
      </c>
      <c r="D15" s="35" t="n">
        <v>500</v>
      </c>
      <c r="E15" s="35" t="n">
        <v>54</v>
      </c>
      <c r="F15" s="35" t="n">
        <v>341</v>
      </c>
    </row>
    <row r="16" customFormat="false" ht="15" hidden="false" customHeight="false" outlineLevel="0" collapsed="false">
      <c r="A16" s="2" t="s">
        <v>211</v>
      </c>
      <c r="B16" s="49" t="n">
        <f aca="false">SUM(B13:B15)</f>
        <v>-935</v>
      </c>
      <c r="C16" s="49" t="n">
        <f aca="false">SUM(C13:C15)</f>
        <v>-792</v>
      </c>
      <c r="D16" s="49" t="n">
        <f aca="false">SUM(D13:D15)</f>
        <v>-401</v>
      </c>
      <c r="E16" s="49" t="n">
        <f aca="false">SUM(E13:E15)</f>
        <v>-435</v>
      </c>
      <c r="F16" s="49" t="n">
        <f aca="false">SUM(F13:F15)</f>
        <v>-112</v>
      </c>
    </row>
    <row r="17" customFormat="false" ht="15" hidden="false" customHeight="false" outlineLevel="0" collapsed="false">
      <c r="A17" s="2" t="s">
        <v>212</v>
      </c>
      <c r="B17" s="35" t="n">
        <v>-5673</v>
      </c>
      <c r="C17" s="35" t="n">
        <v>-5157</v>
      </c>
      <c r="D17" s="35" t="n">
        <v>-5476</v>
      </c>
      <c r="E17" s="35" t="n">
        <v>-2648</v>
      </c>
      <c r="F17" s="35" t="n">
        <v>-2583</v>
      </c>
    </row>
    <row r="18" customFormat="false" ht="15" hidden="false" customHeight="false" outlineLevel="0" collapsed="false">
      <c r="A18" s="13" t="s">
        <v>213</v>
      </c>
      <c r="B18" s="48" t="n">
        <f aca="false">B12+B16+B17</f>
        <v>15952</v>
      </c>
      <c r="C18" s="48" t="n">
        <f aca="false">C12+C16+C17</f>
        <v>12958</v>
      </c>
      <c r="D18" s="48" t="n">
        <f aca="false">D12+D16+D17</f>
        <v>11222</v>
      </c>
      <c r="E18" s="48" t="n">
        <f aca="false">E12+E16+E17</f>
        <v>5915</v>
      </c>
      <c r="F18" s="48" t="n">
        <f aca="false">F12+F16+F17</f>
        <v>6019</v>
      </c>
    </row>
    <row r="19" customFormat="false" ht="15" hidden="false" customHeight="false" outlineLevel="0" collapsed="false">
      <c r="A19" s="11" t="s">
        <v>214</v>
      </c>
      <c r="B19" s="35" t="n">
        <v>-778</v>
      </c>
      <c r="C19" s="35" t="n">
        <v>-408</v>
      </c>
      <c r="D19" s="35" t="n">
        <v>-344</v>
      </c>
      <c r="E19" s="35" t="n">
        <v>-217</v>
      </c>
      <c r="F19" s="35" t="n">
        <v>-322</v>
      </c>
    </row>
    <row r="20" customFormat="false" ht="15" hidden="false" customHeight="false" outlineLevel="0" collapsed="false">
      <c r="A20" s="13" t="s">
        <v>215</v>
      </c>
      <c r="B20" s="48" t="n">
        <f aca="false">B18+B19</f>
        <v>15174</v>
      </c>
      <c r="C20" s="48" t="n">
        <f aca="false">C18+C19</f>
        <v>12550</v>
      </c>
      <c r="D20" s="48" t="n">
        <f aca="false">D18+D19</f>
        <v>10878</v>
      </c>
      <c r="E20" s="48" t="n">
        <f aca="false">E18+E19</f>
        <v>5698</v>
      </c>
      <c r="F20" s="48" t="n">
        <f aca="false">F18+F19</f>
        <v>5697</v>
      </c>
    </row>
    <row r="21" customFormat="false" ht="15" hidden="false" customHeight="false" outlineLevel="0" collapsed="false">
      <c r="A21" s="2" t="s">
        <v>216</v>
      </c>
      <c r="B21" s="32" t="n">
        <v>500.304</v>
      </c>
      <c r="C21" s="32" t="n">
        <v>499.681</v>
      </c>
      <c r="D21" s="32" t="n">
        <v>497.976</v>
      </c>
      <c r="E21" s="32" t="n">
        <v>498.738</v>
      </c>
      <c r="F21" s="32" t="n">
        <v>494.958</v>
      </c>
    </row>
    <row r="22" customFormat="false" ht="15" hidden="false" customHeight="false" outlineLevel="0" collapsed="false">
      <c r="A22" s="2" t="s">
        <v>217</v>
      </c>
      <c r="B22" s="50" t="n">
        <f aca="false">B20/B21</f>
        <v>30.3295596277463</v>
      </c>
      <c r="C22" s="50" t="n">
        <f aca="false">C20/C21</f>
        <v>25.1160240233269</v>
      </c>
      <c r="D22" s="50" t="n">
        <f aca="false">D20/D21</f>
        <v>21.844426237409</v>
      </c>
      <c r="E22" s="50" t="n">
        <f aca="false">E20/E21</f>
        <v>11.4248362867879</v>
      </c>
      <c r="F22" s="50" t="n">
        <f aca="false">F20/F21</f>
        <v>11.5100675208806</v>
      </c>
    </row>
    <row r="24" customFormat="false" ht="15" hidden="false" customHeight="false" outlineLevel="0" collapsed="false">
      <c r="A24" s="8" t="s">
        <v>218</v>
      </c>
    </row>
    <row r="25" customFormat="false" ht="15" hidden="false" customHeight="false" outlineLevel="0" collapsed="false">
      <c r="A25" s="2" t="s">
        <v>219</v>
      </c>
      <c r="B25" s="35" t="n">
        <v>4146</v>
      </c>
      <c r="C25" s="35" t="n">
        <v>4568</v>
      </c>
      <c r="D25" s="35" t="n">
        <v>4858</v>
      </c>
      <c r="E25" s="35" t="n">
        <v>1866</v>
      </c>
      <c r="F25" s="35" t="n">
        <v>1767</v>
      </c>
    </row>
    <row r="26" customFormat="false" ht="15" hidden="false" customHeight="false" outlineLevel="0" collapsed="false">
      <c r="A26" s="2" t="s">
        <v>220</v>
      </c>
      <c r="B26" s="35" t="n">
        <v>3031</v>
      </c>
      <c r="C26" s="35" t="n">
        <v>3228</v>
      </c>
      <c r="D26" s="35" t="n">
        <v>3143</v>
      </c>
      <c r="E26" s="35" t="n">
        <v>1595</v>
      </c>
      <c r="F26" s="35" t="n">
        <v>1550</v>
      </c>
    </row>
    <row r="27" customFormat="false" ht="15" hidden="false" customHeight="false" outlineLevel="0" collapsed="false">
      <c r="A27" s="2" t="s">
        <v>221</v>
      </c>
      <c r="B27" s="35" t="n">
        <v>-2818</v>
      </c>
      <c r="C27" s="35" t="n">
        <v>-2915</v>
      </c>
      <c r="D27" s="35" t="n">
        <v>-2974</v>
      </c>
      <c r="E27" s="35" t="n">
        <v>-1489</v>
      </c>
      <c r="F27" s="35" t="n">
        <v>-1486</v>
      </c>
    </row>
    <row r="28" customFormat="false" ht="15" hidden="false" customHeight="false" outlineLevel="0" collapsed="false">
      <c r="A28" s="2" t="s">
        <v>222</v>
      </c>
      <c r="B28" s="35" t="n">
        <v>-356</v>
      </c>
      <c r="C28" s="35" t="n">
        <v>-483</v>
      </c>
      <c r="D28" s="35" t="n">
        <v>-545</v>
      </c>
      <c r="E28" s="35" t="n">
        <v>-278</v>
      </c>
      <c r="F28" s="35" t="n">
        <v>-261</v>
      </c>
      <c r="G28" s="21" t="s">
        <v>223</v>
      </c>
    </row>
    <row r="29" customFormat="false" ht="15" hidden="false" customHeight="false" outlineLevel="0" collapsed="false">
      <c r="A29" s="2" t="s">
        <v>224</v>
      </c>
      <c r="B29" s="35" t="n">
        <v>-7478</v>
      </c>
      <c r="C29" s="35" t="n">
        <v>-5531</v>
      </c>
      <c r="D29" s="35" t="n">
        <v>-4567</v>
      </c>
      <c r="E29" s="35" t="n">
        <v>-2360</v>
      </c>
      <c r="F29" s="35" t="n">
        <v>-2061</v>
      </c>
    </row>
    <row r="30" customFormat="false" ht="15" hidden="false" customHeight="false" outlineLevel="0" collapsed="false">
      <c r="A30" s="2" t="s">
        <v>225</v>
      </c>
      <c r="B30" s="35" t="n">
        <v>-4577</v>
      </c>
      <c r="C30" s="35" t="n">
        <v>-1925</v>
      </c>
      <c r="D30" s="35" t="n">
        <v>-576</v>
      </c>
      <c r="G30" s="21" t="s">
        <v>226</v>
      </c>
    </row>
    <row r="31" customFormat="false" ht="15" hidden="false" customHeight="false" outlineLevel="0" collapsed="false">
      <c r="A31" s="2" t="s">
        <v>227</v>
      </c>
      <c r="B31" s="35" t="n">
        <v>8104</v>
      </c>
      <c r="C31" s="35" t="n">
        <v>10478</v>
      </c>
      <c r="D31" s="35" t="n">
        <v>11333</v>
      </c>
      <c r="E31" s="35" t="n">
        <v>4032</v>
      </c>
      <c r="F31" s="35" t="n">
        <v>4100</v>
      </c>
    </row>
    <row r="32" customFormat="false" ht="15" hidden="false" customHeight="false" outlineLevel="0" collapsed="false">
      <c r="A32" s="2" t="s">
        <v>228</v>
      </c>
      <c r="B32" s="35" t="n">
        <v>10746</v>
      </c>
      <c r="C32" s="35" t="n">
        <v>9228</v>
      </c>
      <c r="D32" s="35" t="n">
        <v>6857</v>
      </c>
      <c r="E32" s="35" t="n">
        <v>10176</v>
      </c>
      <c r="F32" s="35" t="n">
        <v>8245</v>
      </c>
    </row>
    <row r="34" customFormat="false" ht="15" hidden="false" customHeight="false" outlineLevel="0" collapsed="false">
      <c r="A34" s="8" t="s">
        <v>229</v>
      </c>
    </row>
    <row r="35" customFormat="false" ht="15" hidden="false" customHeight="false" outlineLevel="0" collapsed="false">
      <c r="A35" s="2" t="s">
        <v>230</v>
      </c>
      <c r="C35" s="51" t="n">
        <f aca="false">C4/B4-1</f>
        <v>-0.0170626675797708</v>
      </c>
      <c r="D35" s="51" t="n">
        <f aca="false">D4/C4-1</f>
        <v>-0.045770697778775</v>
      </c>
      <c r="F35" s="51" t="n">
        <f aca="false">F4/E4-1</f>
        <v>-0.0292891233358452</v>
      </c>
    </row>
    <row r="36" customFormat="false" ht="15" hidden="false" customHeight="false" outlineLevel="0" collapsed="false">
      <c r="A36" s="2" t="s">
        <v>231</v>
      </c>
      <c r="B36" s="51" t="n">
        <f aca="false">B6/B4</f>
        <v>0.688043364711618</v>
      </c>
      <c r="C36" s="51" t="n">
        <f aca="false">C6/C4</f>
        <v>0.670323441540805</v>
      </c>
      <c r="D36" s="51" t="n">
        <f aca="false">D6/D4</f>
        <v>0.662417859838875</v>
      </c>
      <c r="E36" s="51" t="n">
        <f aca="false">E6/E4</f>
        <v>0.668425018839488</v>
      </c>
      <c r="F36" s="51" t="n">
        <f aca="false">F6/F4</f>
        <v>0.671152054652727</v>
      </c>
    </row>
    <row r="37" customFormat="false" ht="15" hidden="false" customHeight="false" outlineLevel="0" collapsed="false">
      <c r="A37" s="2" t="s">
        <v>232</v>
      </c>
      <c r="B37" s="51" t="n">
        <f aca="false">B10/B4</f>
        <v>0.264668670853017</v>
      </c>
      <c r="C37" s="51" t="n">
        <f aca="false">C10/C4</f>
        <v>0.231108959295254</v>
      </c>
      <c r="D37" s="51" t="n">
        <f aca="false">D10/D4</f>
        <v>0.219721063769228</v>
      </c>
      <c r="E37" s="51" t="n">
        <f aca="false">E10/E4</f>
        <v>0.226375282592314</v>
      </c>
      <c r="F37" s="51" t="n">
        <f aca="false">F10/F4</f>
        <v>0.224899078770314</v>
      </c>
    </row>
    <row r="38" customFormat="false" ht="15" hidden="false" customHeight="false" outlineLevel="0" collapsed="false">
      <c r="A38" s="2" t="s">
        <v>233</v>
      </c>
      <c r="B38" s="49" t="n">
        <f aca="false">-(B27+B28)-B26</f>
        <v>143</v>
      </c>
      <c r="C38" s="49" t="n">
        <f aca="false">-(C27+C28)-C26</f>
        <v>170</v>
      </c>
      <c r="D38" s="49" t="n">
        <f aca="false">-(D27+D28)-D26</f>
        <v>376</v>
      </c>
      <c r="E38" s="49" t="n">
        <f aca="false">-(E27+E28)-E26</f>
        <v>172</v>
      </c>
      <c r="F38" s="49" t="n">
        <f aca="false">-(F27+F28)-F26</f>
        <v>197</v>
      </c>
    </row>
    <row r="39" customFormat="false" ht="15" hidden="false" customHeight="false" outlineLevel="0" collapsed="false">
      <c r="A39" s="13" t="s">
        <v>234</v>
      </c>
      <c r="B39" s="48" t="n">
        <f aca="false">B10+B25-B38</f>
        <v>26805</v>
      </c>
      <c r="C39" s="48" t="n">
        <f aca="false">C10+C25-C38</f>
        <v>23969</v>
      </c>
      <c r="D39" s="48" t="n">
        <f aca="false">D10+D25-D38</f>
        <v>22237</v>
      </c>
      <c r="E39" s="48" t="n">
        <f aca="false">E10+E25-E38</f>
        <v>10706</v>
      </c>
      <c r="F39" s="48" t="n">
        <f aca="false">F10+F25-F38</f>
        <v>10261</v>
      </c>
    </row>
    <row r="40" customFormat="false" ht="15" hidden="false" customHeight="false" outlineLevel="0" collapsed="false">
      <c r="A40" s="2" t="s">
        <v>235</v>
      </c>
      <c r="B40" s="51" t="n">
        <f aca="false">B39/B4</f>
        <v>0.311132520051536</v>
      </c>
      <c r="C40" s="51" t="n">
        <f aca="false">C39/C4</f>
        <v>0.283043822254762</v>
      </c>
      <c r="D40" s="51" t="n">
        <f aca="false">D39/D4</f>
        <v>0.275186555620181</v>
      </c>
      <c r="E40" s="51" t="n">
        <f aca="false">E39/E4</f>
        <v>0.268927405174579</v>
      </c>
      <c r="F40" s="51" t="n">
        <f aca="false">F39/F4</f>
        <v>0.265526343028672</v>
      </c>
    </row>
    <row r="41" customFormat="false" ht="15" hidden="false" customHeight="false" outlineLevel="0" collapsed="false">
      <c r="A41" s="2" t="s">
        <v>236</v>
      </c>
      <c r="B41" s="51" t="n">
        <f aca="false">-B17/(B12+B16)</f>
        <v>0.262335260115607</v>
      </c>
      <c r="C41" s="51" t="n">
        <f aca="false">-C17/(C12+C16)</f>
        <v>0.284681203422578</v>
      </c>
      <c r="D41" s="51" t="n">
        <f aca="false">-D17/(D12+D16)</f>
        <v>0.327943466283387</v>
      </c>
      <c r="E41" s="51" t="n">
        <f aca="false">-E17/(E12+E16)</f>
        <v>0.30923741679318</v>
      </c>
      <c r="F41" s="51" t="n">
        <f aca="false">-F17/(F12+F16)</f>
        <v>0.300279004882585</v>
      </c>
    </row>
    <row r="42" customFormat="false" ht="15" hidden="false" customHeight="false" outlineLevel="0" collapsed="false">
      <c r="A42" s="2" t="s">
        <v>237</v>
      </c>
      <c r="B42" s="52" t="n">
        <f aca="false">B32/B39</f>
        <v>0.400895355344152</v>
      </c>
      <c r="C42" s="52" t="n">
        <f aca="false">C32/C39</f>
        <v>0.384997288163878</v>
      </c>
      <c r="D42" s="52" t="n">
        <f aca="false">D32/D39</f>
        <v>0.308359940639475</v>
      </c>
    </row>
    <row r="44" customFormat="false" ht="15" hidden="false" customHeight="false" outlineLevel="0" collapsed="false">
      <c r="A44" s="8" t="s">
        <v>238</v>
      </c>
    </row>
    <row r="45" customFormat="false" ht="15" hidden="false" customHeight="false" outlineLevel="0" collapsed="false">
      <c r="A45" s="22" t="s">
        <v>193</v>
      </c>
      <c r="B45" s="23" t="s">
        <v>194</v>
      </c>
      <c r="C45" s="23" t="s">
        <v>195</v>
      </c>
      <c r="D45" s="23" t="s">
        <v>196</v>
      </c>
      <c r="E45" s="23" t="s">
        <v>197</v>
      </c>
      <c r="F45" s="23" t="s">
        <v>198</v>
      </c>
    </row>
    <row r="46" customFormat="false" ht="15" hidden="false" customHeight="false" outlineLevel="0" collapsed="false">
      <c r="A46" s="2" t="s">
        <v>239</v>
      </c>
      <c r="B46" s="35" t="n">
        <v>6602</v>
      </c>
      <c r="C46" s="35" t="n">
        <v>5862</v>
      </c>
      <c r="D46" s="35" t="n">
        <v>5358</v>
      </c>
      <c r="E46" s="35" t="n">
        <v>2588</v>
      </c>
      <c r="F46" s="35" t="n">
        <v>2598</v>
      </c>
    </row>
    <row r="47" customFormat="false" ht="15" hidden="false" customHeight="false" outlineLevel="0" collapsed="false">
      <c r="A47" s="2" t="s">
        <v>240</v>
      </c>
      <c r="B47" s="35" t="n">
        <v>42169</v>
      </c>
      <c r="C47" s="35" t="n">
        <v>41060</v>
      </c>
      <c r="D47" s="35" t="n">
        <v>37770</v>
      </c>
      <c r="E47" s="35" t="n">
        <v>19115</v>
      </c>
      <c r="F47" s="35" t="n">
        <v>18146</v>
      </c>
    </row>
    <row r="48" customFormat="false" ht="15" hidden="false" customHeight="false" outlineLevel="0" collapsed="false">
      <c r="A48" s="2" t="s">
        <v>241</v>
      </c>
      <c r="B48" s="35" t="n">
        <v>8271</v>
      </c>
      <c r="C48" s="35" t="n">
        <v>8418</v>
      </c>
      <c r="D48" s="35" t="n">
        <v>8174</v>
      </c>
      <c r="E48" s="35" t="n">
        <v>4082</v>
      </c>
      <c r="F48" s="35" t="n">
        <v>3914</v>
      </c>
    </row>
    <row r="49" customFormat="false" ht="15" hidden="false" customHeight="false" outlineLevel="0" collapsed="false">
      <c r="A49" s="2" t="s">
        <v>242</v>
      </c>
      <c r="B49" s="35" t="n">
        <v>10902</v>
      </c>
      <c r="C49" s="35" t="n">
        <v>10577</v>
      </c>
      <c r="D49" s="35" t="n">
        <v>10486</v>
      </c>
      <c r="E49" s="35" t="n">
        <v>5090</v>
      </c>
      <c r="F49" s="35" t="n">
        <v>5225</v>
      </c>
    </row>
    <row r="50" customFormat="false" ht="15" hidden="false" customHeight="false" outlineLevel="0" collapsed="false">
      <c r="A50" s="2" t="s">
        <v>243</v>
      </c>
      <c r="B50" s="35" t="n">
        <v>17885</v>
      </c>
      <c r="C50" s="35" t="n">
        <v>18262</v>
      </c>
      <c r="D50" s="35" t="n">
        <v>18348</v>
      </c>
      <c r="E50" s="35" t="n">
        <v>8620</v>
      </c>
      <c r="F50" s="35" t="n">
        <v>8406</v>
      </c>
    </row>
    <row r="51" customFormat="false" ht="15" hidden="false" customHeight="false" outlineLevel="0" collapsed="false">
      <c r="A51" s="2" t="s">
        <v>244</v>
      </c>
      <c r="B51" s="35" t="n">
        <v>324</v>
      </c>
      <c r="C51" s="35" t="n">
        <v>504</v>
      </c>
      <c r="D51" s="35" t="n">
        <v>671</v>
      </c>
      <c r="E51" s="35" t="n">
        <v>315</v>
      </c>
      <c r="F51" s="35" t="n">
        <v>356</v>
      </c>
    </row>
    <row r="52" customFormat="false" ht="15" hidden="false" customHeight="false" outlineLevel="0" collapsed="false">
      <c r="A52" s="13" t="s">
        <v>245</v>
      </c>
      <c r="B52" s="48" t="n">
        <f aca="false">SUM(B46:B51)</f>
        <v>86153</v>
      </c>
      <c r="C52" s="48" t="n">
        <f aca="false">SUM(C46:C51)</f>
        <v>84683</v>
      </c>
      <c r="D52" s="48" t="n">
        <f aca="false">SUM(D46:D51)</f>
        <v>80807</v>
      </c>
      <c r="E52" s="48" t="n">
        <f aca="false">SUM(E46:E51)</f>
        <v>39810</v>
      </c>
      <c r="F52" s="48" t="n">
        <f aca="false">SUM(F46:F51)</f>
        <v>38645</v>
      </c>
    </row>
    <row r="53" customFormat="false" ht="15" hidden="false" customHeight="false" outlineLevel="0" collapsed="false">
      <c r="A53" s="21" t="s">
        <v>246</v>
      </c>
      <c r="B53" s="53" t="n">
        <f aca="false">B52-B4</f>
        <v>0</v>
      </c>
      <c r="C53" s="53" t="n">
        <f aca="false">C52-C4</f>
        <v>0</v>
      </c>
      <c r="D53" s="53" t="n">
        <f aca="false">D52-D4</f>
        <v>0</v>
      </c>
      <c r="E53" s="53" t="n">
        <f aca="false">E52-E4</f>
        <v>0</v>
      </c>
      <c r="F53" s="53" t="n">
        <f aca="false">F52-F4</f>
        <v>1</v>
      </c>
    </row>
    <row r="55" customFormat="false" ht="15" hidden="false" customHeight="false" outlineLevel="0" collapsed="false">
      <c r="A55" s="8" t="s">
        <v>247</v>
      </c>
    </row>
    <row r="56" customFormat="false" ht="15" hidden="false" customHeight="false" outlineLevel="0" collapsed="false">
      <c r="A56" s="22" t="s">
        <v>193</v>
      </c>
      <c r="B56" s="23" t="s">
        <v>194</v>
      </c>
      <c r="C56" s="23" t="s">
        <v>195</v>
      </c>
      <c r="D56" s="23" t="s">
        <v>196</v>
      </c>
      <c r="E56" s="23" t="s">
        <v>197</v>
      </c>
      <c r="F56" s="23" t="s">
        <v>198</v>
      </c>
    </row>
    <row r="57" customFormat="false" ht="15" hidden="false" customHeight="false" outlineLevel="0" collapsed="false">
      <c r="A57" s="2" t="s">
        <v>239</v>
      </c>
      <c r="B57" s="35" t="n">
        <v>2109</v>
      </c>
      <c r="C57" s="35" t="n">
        <v>1356</v>
      </c>
      <c r="D57" s="35" t="n">
        <v>1016</v>
      </c>
      <c r="E57" s="35" t="n">
        <v>524</v>
      </c>
      <c r="F57" s="35" t="n">
        <v>582</v>
      </c>
    </row>
    <row r="58" customFormat="false" ht="15" hidden="false" customHeight="false" outlineLevel="0" collapsed="false">
      <c r="A58" s="2" t="s">
        <v>240</v>
      </c>
      <c r="B58" s="35" t="n">
        <v>16836</v>
      </c>
      <c r="C58" s="35" t="n">
        <v>15230</v>
      </c>
      <c r="D58" s="35" t="n">
        <v>13209</v>
      </c>
      <c r="E58" s="35" t="n">
        <v>6636</v>
      </c>
      <c r="F58" s="35" t="n">
        <v>6195</v>
      </c>
    </row>
    <row r="59" customFormat="false" ht="15" hidden="false" customHeight="false" outlineLevel="0" collapsed="false">
      <c r="A59" s="2" t="s">
        <v>241</v>
      </c>
      <c r="B59" s="35" t="n">
        <v>713</v>
      </c>
      <c r="C59" s="35" t="n">
        <v>671</v>
      </c>
      <c r="D59" s="35" t="n">
        <v>727</v>
      </c>
      <c r="E59" s="35" t="n">
        <v>425</v>
      </c>
      <c r="F59" s="35" t="n">
        <v>417</v>
      </c>
    </row>
    <row r="60" customFormat="false" ht="15" hidden="false" customHeight="false" outlineLevel="0" collapsed="false">
      <c r="A60" s="2" t="s">
        <v>242</v>
      </c>
      <c r="B60" s="35" t="n">
        <v>2162</v>
      </c>
      <c r="C60" s="35" t="n">
        <v>1546</v>
      </c>
      <c r="D60" s="35" t="n">
        <v>1514</v>
      </c>
      <c r="E60" s="35" t="n">
        <v>762</v>
      </c>
      <c r="F60" s="35" t="n">
        <v>831</v>
      </c>
    </row>
    <row r="61" customFormat="false" ht="15" hidden="false" customHeight="false" outlineLevel="0" collapsed="false">
      <c r="A61" s="2" t="s">
        <v>243</v>
      </c>
      <c r="B61" s="35" t="n">
        <v>1391</v>
      </c>
      <c r="C61" s="35" t="n">
        <v>1385</v>
      </c>
      <c r="D61" s="35" t="n">
        <v>1780</v>
      </c>
      <c r="E61" s="35" t="n">
        <v>876</v>
      </c>
      <c r="F61" s="35" t="n">
        <v>893</v>
      </c>
    </row>
    <row r="62" customFormat="false" ht="15" hidden="false" customHeight="false" outlineLevel="0" collapsed="false">
      <c r="A62" s="2" t="s">
        <v>244</v>
      </c>
      <c r="B62" s="35" t="n">
        <v>-409</v>
      </c>
      <c r="C62" s="35" t="n">
        <v>-617</v>
      </c>
      <c r="D62" s="35" t="n">
        <v>-491</v>
      </c>
      <c r="E62" s="35" t="n">
        <v>-211</v>
      </c>
      <c r="F62" s="35" t="n">
        <v>-228</v>
      </c>
    </row>
    <row r="63" customFormat="false" ht="15" hidden="false" customHeight="false" outlineLevel="0" collapsed="false">
      <c r="A63" s="13" t="s">
        <v>248</v>
      </c>
      <c r="B63" s="48" t="n">
        <f aca="false">SUM(B57:B62)</f>
        <v>22802</v>
      </c>
      <c r="C63" s="48" t="n">
        <f aca="false">SUM(C57:C62)</f>
        <v>19571</v>
      </c>
      <c r="D63" s="48" t="n">
        <f aca="false">SUM(D57:D62)</f>
        <v>17755</v>
      </c>
      <c r="E63" s="48" t="n">
        <f aca="false">SUM(E57:E62)</f>
        <v>9012</v>
      </c>
      <c r="F63" s="48" t="n">
        <f aca="false">SUM(F57:F62)</f>
        <v>8690</v>
      </c>
    </row>
    <row r="64" customFormat="false" ht="15" hidden="false" customHeight="false" outlineLevel="0" collapsed="false">
      <c r="A64" s="21" t="s">
        <v>249</v>
      </c>
      <c r="B64" s="53" t="n">
        <f aca="false">B63-B10</f>
        <v>0</v>
      </c>
      <c r="C64" s="53" t="n">
        <f aca="false">C63-C10</f>
        <v>0</v>
      </c>
      <c r="D64" s="53" t="n">
        <f aca="false">D63-D10</f>
        <v>0</v>
      </c>
      <c r="E64" s="53" t="n">
        <f aca="false">E63-E10</f>
        <v>0</v>
      </c>
      <c r="F64" s="53" t="n">
        <f aca="false">F63-F10</f>
        <v>-1</v>
      </c>
    </row>
    <row r="66" customFormat="false" ht="15" hidden="false" customHeight="false" outlineLevel="0" collapsed="false">
      <c r="A66" s="8" t="s">
        <v>250</v>
      </c>
    </row>
    <row r="67" customFormat="false" ht="15" hidden="false" customHeight="false" outlineLevel="0" collapsed="false">
      <c r="A67" s="22" t="s">
        <v>90</v>
      </c>
      <c r="B67" s="23" t="s">
        <v>194</v>
      </c>
      <c r="C67" s="23" t="s">
        <v>195</v>
      </c>
      <c r="D67" s="23" t="s">
        <v>196</v>
      </c>
      <c r="E67" s="23" t="s">
        <v>197</v>
      </c>
      <c r="F67" s="23" t="s">
        <v>198</v>
      </c>
    </row>
    <row r="68" customFormat="false" ht="15" hidden="false" customHeight="false" outlineLevel="0" collapsed="false">
      <c r="A68" s="2" t="s">
        <v>239</v>
      </c>
      <c r="B68" s="51" t="n">
        <f aca="false">B57/B46</f>
        <v>0.31944865192366</v>
      </c>
      <c r="C68" s="51" t="n">
        <f aca="false">C57/C46</f>
        <v>0.231320368474923</v>
      </c>
      <c r="D68" s="51" t="n">
        <f aca="false">D57/D46</f>
        <v>0.189622993654349</v>
      </c>
      <c r="E68" s="51" t="n">
        <f aca="false">E57/E46</f>
        <v>0.202472952086553</v>
      </c>
      <c r="F68" s="51" t="n">
        <f aca="false">F57/F46</f>
        <v>0.224018475750577</v>
      </c>
    </row>
    <row r="69" customFormat="false" ht="15" hidden="false" customHeight="false" outlineLevel="0" collapsed="false">
      <c r="A69" s="2" t="s">
        <v>240</v>
      </c>
      <c r="B69" s="51" t="n">
        <f aca="false">B58/B47</f>
        <v>0.399250634352249</v>
      </c>
      <c r="C69" s="51" t="n">
        <f aca="false">C58/C47</f>
        <v>0.370920603994155</v>
      </c>
      <c r="D69" s="51" t="n">
        <f aca="false">D58/D47</f>
        <v>0.349722001588562</v>
      </c>
      <c r="E69" s="51" t="n">
        <f aca="false">E58/E47</f>
        <v>0.347161914726655</v>
      </c>
      <c r="F69" s="51" t="n">
        <f aca="false">F58/F47</f>
        <v>0.341397553179764</v>
      </c>
    </row>
    <row r="70" customFormat="false" ht="15" hidden="false" customHeight="false" outlineLevel="0" collapsed="false">
      <c r="A70" s="2" t="s">
        <v>241</v>
      </c>
      <c r="B70" s="51" t="n">
        <f aca="false">B59/B48</f>
        <v>0.086204811993713</v>
      </c>
      <c r="C70" s="51" t="n">
        <f aca="false">C59/C48</f>
        <v>0.0797101449275362</v>
      </c>
      <c r="D70" s="51" t="n">
        <f aca="false">D59/D48</f>
        <v>0.0889405431857108</v>
      </c>
      <c r="E70" s="51" t="n">
        <f aca="false">E59/E48</f>
        <v>0.104115629593337</v>
      </c>
      <c r="F70" s="51" t="n">
        <f aca="false">F59/F48</f>
        <v>0.106540623403168</v>
      </c>
    </row>
    <row r="71" customFormat="false" ht="15" hidden="false" customHeight="false" outlineLevel="0" collapsed="false">
      <c r="A71" s="2" t="s">
        <v>242</v>
      </c>
      <c r="B71" s="51" t="n">
        <f aca="false">B60/B49</f>
        <v>0.19831223628692</v>
      </c>
      <c r="C71" s="51" t="n">
        <f aca="false">C60/C49</f>
        <v>0.146166209700293</v>
      </c>
      <c r="D71" s="51" t="n">
        <f aca="false">D60/D49</f>
        <v>0.144382986839596</v>
      </c>
      <c r="E71" s="51" t="n">
        <f aca="false">E60/E49</f>
        <v>0.149705304518664</v>
      </c>
      <c r="F71" s="51" t="n">
        <f aca="false">F60/F49</f>
        <v>0.159043062200957</v>
      </c>
    </row>
    <row r="72" customFormat="false" ht="15" hidden="false" customHeight="false" outlineLevel="0" collapsed="false">
      <c r="A72" s="2" t="s">
        <v>243</v>
      </c>
      <c r="B72" s="51" t="n">
        <f aca="false">B61/B50</f>
        <v>0.0777746715124406</v>
      </c>
      <c r="C72" s="51" t="n">
        <f aca="false">C61/C50</f>
        <v>0.0758405432044683</v>
      </c>
      <c r="D72" s="51" t="n">
        <f aca="false">D61/D50</f>
        <v>0.0970132984521474</v>
      </c>
      <c r="E72" s="51" t="n">
        <f aca="false">E61/E50</f>
        <v>0.101624129930394</v>
      </c>
      <c r="F72" s="51" t="n">
        <f aca="false">F61/F50</f>
        <v>0.106233642636212</v>
      </c>
    </row>
    <row r="73" customFormat="false" ht="15" hidden="false" customHeight="false" outlineLevel="0" collapsed="false">
      <c r="A73" s="4" t="s">
        <v>251</v>
      </c>
      <c r="B73" s="7" t="n">
        <f aca="false">B63/B52</f>
        <v>0.264668670853017</v>
      </c>
      <c r="C73" s="7" t="n">
        <f aca="false">C63/C52</f>
        <v>0.231108959295254</v>
      </c>
      <c r="D73" s="7" t="n">
        <f aca="false">D63/D52</f>
        <v>0.219721063769228</v>
      </c>
      <c r="E73" s="7" t="n">
        <f aca="false">E63/E52</f>
        <v>0.226375282592314</v>
      </c>
      <c r="F73" s="7" t="n">
        <f aca="false">F63/F52</f>
        <v>0.224867382585069</v>
      </c>
    </row>
    <row r="75" customFormat="false" ht="15" hidden="false" customHeight="false" outlineLevel="0" collapsed="false">
      <c r="A75" s="21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9" min="2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13"/>
    <col collapsed="false" customWidth="true" hidden="false" outlineLevel="0" max="15" min="14" style="0" width="11"/>
  </cols>
  <sheetData>
    <row r="1" customFormat="false" ht="16.15" hidden="false" customHeight="false" outlineLevel="0" collapsed="false">
      <c r="B1" s="43" t="s">
        <v>253</v>
      </c>
    </row>
    <row r="3" customFormat="false" ht="15" hidden="false" customHeight="false" outlineLevel="0" collapsed="false">
      <c r="A3" s="22" t="s">
        <v>254</v>
      </c>
      <c r="B3" s="23" t="s">
        <v>196</v>
      </c>
      <c r="C3" s="23" t="s">
        <v>127</v>
      </c>
      <c r="D3" s="23" t="s">
        <v>128</v>
      </c>
      <c r="E3" s="23" t="s">
        <v>129</v>
      </c>
      <c r="F3" s="23" t="s">
        <v>130</v>
      </c>
      <c r="G3" s="23" t="s">
        <v>131</v>
      </c>
      <c r="H3" s="23" t="s">
        <v>132</v>
      </c>
    </row>
    <row r="4" customFormat="false" ht="23.85" hidden="false" customHeight="false" outlineLevel="0" collapsed="false">
      <c r="A4" s="8" t="s">
        <v>255</v>
      </c>
      <c r="J4" s="22" t="s">
        <v>256</v>
      </c>
      <c r="K4" s="23" t="s">
        <v>257</v>
      </c>
      <c r="L4" s="23" t="s">
        <v>258</v>
      </c>
      <c r="M4" s="23" t="s">
        <v>259</v>
      </c>
      <c r="N4" s="23" t="s">
        <v>260</v>
      </c>
      <c r="O4" s="23" t="s">
        <v>127</v>
      </c>
    </row>
    <row r="5" customFormat="false" ht="15" hidden="false" customHeight="false" outlineLevel="0" collapsed="false">
      <c r="A5" s="2" t="s">
        <v>239</v>
      </c>
      <c r="B5" s="16" t="n">
        <f aca="false">Income_Statement!D46</f>
        <v>5358</v>
      </c>
      <c r="C5" s="54" t="n">
        <f aca="false">O5</f>
        <v>5540.05</v>
      </c>
      <c r="D5" s="55" t="n">
        <f aca="false">C5*(1+Assumptions!C5)</f>
        <v>5706.2515</v>
      </c>
      <c r="E5" s="55" t="n">
        <f aca="false">D5*(1+Assumptions!D5)</f>
        <v>5934.50156</v>
      </c>
      <c r="F5" s="55" t="n">
        <f aca="false">E5*(1+Assumptions!E5)</f>
        <v>6171.8816224</v>
      </c>
      <c r="G5" s="55" t="n">
        <f aca="false">F5*(1+Assumptions!F5)</f>
        <v>6418.756887296</v>
      </c>
      <c r="H5" s="55" t="n">
        <f aca="false">G5*(1+Assumptions!G5)</f>
        <v>6675.50716278784</v>
      </c>
      <c r="J5" s="2" t="s">
        <v>261</v>
      </c>
      <c r="K5" s="35" t="n">
        <v>4027</v>
      </c>
      <c r="L5" s="35" t="n">
        <v>1441</v>
      </c>
      <c r="M5" s="10" t="n">
        <v>0.05</v>
      </c>
      <c r="N5" s="49" t="n">
        <f aca="false">L5*(1+M5)</f>
        <v>1513.05</v>
      </c>
      <c r="O5" s="49" t="n">
        <f aca="false">K5+N5</f>
        <v>5540.05</v>
      </c>
    </row>
    <row r="6" customFormat="false" ht="15" hidden="false" customHeight="false" outlineLevel="0" collapsed="false">
      <c r="A6" s="2" t="s">
        <v>240</v>
      </c>
      <c r="B6" s="16" t="n">
        <f aca="false">Income_Statement!D47</f>
        <v>37770</v>
      </c>
      <c r="C6" s="54" t="n">
        <f aca="false">O6</f>
        <v>36143.64</v>
      </c>
      <c r="D6" s="55" t="n">
        <f aca="false">C6*(1+Assumptions!C6)</f>
        <v>36505.0764</v>
      </c>
      <c r="E6" s="55" t="n">
        <f aca="false">D6*(1+Assumptions!D6)</f>
        <v>38330.33022</v>
      </c>
      <c r="F6" s="55" t="n">
        <f aca="false">E6*(1+Assumptions!E6)</f>
        <v>40630.1500332</v>
      </c>
      <c r="G6" s="55" t="n">
        <f aca="false">F6*(1+Assumptions!F6)</f>
        <v>43067.959035192</v>
      </c>
      <c r="H6" s="55" t="n">
        <f aca="false">G6*(1+Assumptions!G6)</f>
        <v>45221.3569869516</v>
      </c>
      <c r="J6" s="2" t="s">
        <v>262</v>
      </c>
      <c r="K6" s="35" t="n">
        <v>26391</v>
      </c>
      <c r="L6" s="35" t="n">
        <v>10159</v>
      </c>
      <c r="M6" s="10" t="n">
        <v>-0.04</v>
      </c>
      <c r="N6" s="49" t="n">
        <f aca="false">L6*(1+M6)</f>
        <v>9752.64</v>
      </c>
      <c r="O6" s="49" t="n">
        <f aca="false">K6+N6</f>
        <v>36143.64</v>
      </c>
    </row>
    <row r="7" customFormat="false" ht="15" hidden="false" customHeight="false" outlineLevel="0" collapsed="false">
      <c r="A7" s="2" t="s">
        <v>241</v>
      </c>
      <c r="B7" s="16" t="n">
        <f aca="false">Income_Statement!D48</f>
        <v>8174</v>
      </c>
      <c r="C7" s="54" t="n">
        <f aca="false">O7</f>
        <v>8098.68</v>
      </c>
      <c r="D7" s="55" t="n">
        <f aca="false">C7*(1+Assumptions!C7)</f>
        <v>8341.6404</v>
      </c>
      <c r="E7" s="55" t="n">
        <f aca="false">D7*(1+Assumptions!D7)</f>
        <v>8675.306016</v>
      </c>
      <c r="F7" s="55" t="n">
        <f aca="false">E7*(1+Assumptions!E7)</f>
        <v>9022.31825664</v>
      </c>
      <c r="G7" s="55" t="n">
        <f aca="false">F7*(1+Assumptions!F7)</f>
        <v>9383.2109869056</v>
      </c>
      <c r="H7" s="55" t="n">
        <f aca="false">G7*(1+Assumptions!G7)</f>
        <v>9758.53942638183</v>
      </c>
      <c r="J7" s="2" t="s">
        <v>263</v>
      </c>
      <c r="K7" s="35" t="n">
        <v>5922</v>
      </c>
      <c r="L7" s="35" t="n">
        <v>2134</v>
      </c>
      <c r="M7" s="10" t="n">
        <v>0.02</v>
      </c>
      <c r="N7" s="49" t="n">
        <f aca="false">L7*(1+M7)</f>
        <v>2176.68</v>
      </c>
      <c r="O7" s="49" t="n">
        <f aca="false">K7+N7</f>
        <v>8098.68</v>
      </c>
    </row>
    <row r="8" customFormat="false" ht="15" hidden="false" customHeight="false" outlineLevel="0" collapsed="false">
      <c r="A8" s="2" t="s">
        <v>242</v>
      </c>
      <c r="B8" s="16" t="n">
        <f aca="false">Income_Statement!D49</f>
        <v>10486</v>
      </c>
      <c r="C8" s="54" t="n">
        <f aca="false">O8</f>
        <v>11017.39</v>
      </c>
      <c r="D8" s="55" t="n">
        <f aca="false">C8*(1+Assumptions!C8)</f>
        <v>11678.4334</v>
      </c>
      <c r="E8" s="55" t="n">
        <f aca="false">D8*(1+Assumptions!D8)</f>
        <v>12379.139404</v>
      </c>
      <c r="F8" s="55" t="n">
        <f aca="false">E8*(1+Assumptions!E8)</f>
        <v>13121.88776824</v>
      </c>
      <c r="G8" s="55" t="n">
        <f aca="false">F8*(1+Assumptions!F8)</f>
        <v>13777.982156652</v>
      </c>
      <c r="H8" s="55" t="n">
        <f aca="false">G8*(1+Assumptions!G8)</f>
        <v>14466.8812644846</v>
      </c>
      <c r="J8" s="2" t="s">
        <v>264</v>
      </c>
      <c r="K8" s="35" t="n">
        <v>7725</v>
      </c>
      <c r="L8" s="35" t="n">
        <v>3077</v>
      </c>
      <c r="M8" s="10" t="n">
        <v>0.07</v>
      </c>
      <c r="N8" s="49" t="n">
        <f aca="false">L8*(1+M8)</f>
        <v>3292.39</v>
      </c>
      <c r="O8" s="49" t="n">
        <f aca="false">K8+N8</f>
        <v>11017.39</v>
      </c>
    </row>
    <row r="9" customFormat="false" ht="15" hidden="false" customHeight="false" outlineLevel="0" collapsed="false">
      <c r="A9" s="2" t="s">
        <v>243</v>
      </c>
      <c r="B9" s="16" t="n">
        <f aca="false">Income_Statement!D50</f>
        <v>18348</v>
      </c>
      <c r="C9" s="54" t="n">
        <f aca="false">O9</f>
        <v>18325.7</v>
      </c>
      <c r="D9" s="55" t="n">
        <f aca="false">C9*(1+Assumptions!C9)</f>
        <v>18692.214</v>
      </c>
      <c r="E9" s="55" t="n">
        <f aca="false">D9*(1+Assumptions!D9)</f>
        <v>19626.8247</v>
      </c>
      <c r="F9" s="55" t="n">
        <f aca="false">E9*(1+Assumptions!E9)</f>
        <v>20608.165935</v>
      </c>
      <c r="G9" s="55" t="n">
        <f aca="false">F9*(1+Assumptions!F9)</f>
        <v>21638.57423175</v>
      </c>
      <c r="H9" s="55" t="n">
        <f aca="false">G9*(1+Assumptions!G9)</f>
        <v>22504.11720102</v>
      </c>
      <c r="J9" s="2" t="s">
        <v>265</v>
      </c>
      <c r="K9" s="35" t="n">
        <v>12476</v>
      </c>
      <c r="L9" s="35" t="n">
        <v>5735</v>
      </c>
      <c r="M9" s="10" t="n">
        <v>0.02</v>
      </c>
      <c r="N9" s="49" t="n">
        <f aca="false">L9*(1+M9)</f>
        <v>5849.7</v>
      </c>
      <c r="O9" s="49" t="n">
        <f aca="false">K9+N9</f>
        <v>18325.7</v>
      </c>
    </row>
    <row r="10" customFormat="false" ht="15" hidden="false" customHeight="false" outlineLevel="0" collapsed="false">
      <c r="A10" s="2" t="s">
        <v>244</v>
      </c>
      <c r="B10" s="16" t="n">
        <f aca="false">Income_Statement!D51</f>
        <v>671</v>
      </c>
      <c r="C10" s="54" t="n">
        <f aca="false">O10</f>
        <v>778</v>
      </c>
      <c r="D10" s="55" t="n">
        <f aca="false">C10*(1+Assumptions!C10)</f>
        <v>778</v>
      </c>
      <c r="E10" s="55" t="n">
        <f aca="false">D10*(1+Assumptions!D10)</f>
        <v>778</v>
      </c>
      <c r="F10" s="55" t="n">
        <f aca="false">E10*(1+Assumptions!E10)</f>
        <v>778</v>
      </c>
      <c r="G10" s="55" t="n">
        <f aca="false">F10*(1+Assumptions!F10)</f>
        <v>778</v>
      </c>
      <c r="H10" s="55" t="n">
        <f aca="false">G10*(1+Assumptions!G10)</f>
        <v>778</v>
      </c>
      <c r="J10" s="2" t="s">
        <v>266</v>
      </c>
      <c r="K10" s="35" t="n">
        <v>607</v>
      </c>
      <c r="L10" s="35" t="n">
        <v>171</v>
      </c>
      <c r="M10" s="10" t="n">
        <v>0</v>
      </c>
      <c r="N10" s="49" t="n">
        <f aca="false">L10*(1+M10)</f>
        <v>171</v>
      </c>
      <c r="O10" s="49" t="n">
        <f aca="false">K10+N10</f>
        <v>778</v>
      </c>
    </row>
    <row r="11" customFormat="false" ht="15" hidden="false" customHeight="false" outlineLevel="0" collapsed="false">
      <c r="A11" s="13" t="s">
        <v>267</v>
      </c>
      <c r="B11" s="48" t="n">
        <f aca="false">SUM(B5:B10)</f>
        <v>80807</v>
      </c>
      <c r="C11" s="56" t="n">
        <f aca="false">SUM(C5:C10)</f>
        <v>79903.46</v>
      </c>
      <c r="D11" s="56" t="n">
        <f aca="false">SUM(D5:D10)</f>
        <v>81701.6157</v>
      </c>
      <c r="E11" s="56" t="n">
        <f aca="false">SUM(E5:E10)</f>
        <v>85724.1019</v>
      </c>
      <c r="F11" s="56" t="n">
        <f aca="false">SUM(F5:F10)</f>
        <v>90332.40361548</v>
      </c>
      <c r="G11" s="56" t="n">
        <f aca="false">SUM(G5:G10)</f>
        <v>95064.4832977956</v>
      </c>
      <c r="H11" s="56" t="n">
        <f aca="false">SUM(H5:H10)</f>
        <v>99404.4020416259</v>
      </c>
      <c r="J11" s="13" t="s">
        <v>268</v>
      </c>
      <c r="K11" s="48" t="n">
        <f aca="false">SUM(K5:K10)</f>
        <v>57148</v>
      </c>
      <c r="L11" s="48" t="n">
        <f aca="false">SUM(L5:L10)</f>
        <v>22717</v>
      </c>
      <c r="M11" s="57" t="n">
        <f aca="false">N11/L11-1</f>
        <v>0.00169300523836768</v>
      </c>
      <c r="N11" s="48" t="n">
        <f aca="false">SUM(N5:N10)</f>
        <v>22755.46</v>
      </c>
      <c r="O11" s="48" t="n">
        <f aca="false">SUM(O5:O10)</f>
        <v>79903.46</v>
      </c>
    </row>
    <row r="12" customFormat="false" ht="15" hidden="false" customHeight="false" outlineLevel="0" collapsed="false">
      <c r="A12" s="11" t="s">
        <v>269</v>
      </c>
      <c r="C12" s="12" t="n">
        <f aca="false">C11/B11-1</f>
        <v>-0.011181457051988</v>
      </c>
      <c r="D12" s="12" t="n">
        <f aca="false">D11/C11-1</f>
        <v>0.0225041030763873</v>
      </c>
      <c r="E12" s="12" t="n">
        <f aca="false">E11/D11-1</f>
        <v>0.0492338635599345</v>
      </c>
      <c r="F12" s="12" t="n">
        <f aca="false">F11/E11-1</f>
        <v>0.053757363604179</v>
      </c>
      <c r="G12" s="12" t="n">
        <f aca="false">G11/F11-1</f>
        <v>0.0523851850821857</v>
      </c>
      <c r="H12" s="12" t="n">
        <f aca="false">H11/G11-1</f>
        <v>0.045652367669587</v>
      </c>
      <c r="J12" s="21" t="s">
        <v>270</v>
      </c>
    </row>
    <row r="14" customFormat="false" ht="15" hidden="false" customHeight="false" outlineLevel="0" collapsed="false">
      <c r="A14" s="8" t="s">
        <v>271</v>
      </c>
    </row>
    <row r="15" customFormat="false" ht="15" hidden="false" customHeight="false" outlineLevel="0" collapsed="false">
      <c r="A15" s="2" t="s">
        <v>239</v>
      </c>
      <c r="B15" s="16" t="n">
        <f aca="false">Income_Statement!D57</f>
        <v>1016</v>
      </c>
      <c r="C15" s="55" t="n">
        <f aca="false">C5*Assumptions!B13</f>
        <v>1135.71025</v>
      </c>
      <c r="D15" s="55" t="n">
        <f aca="false">D5*Assumptions!C13</f>
        <v>1198.312815</v>
      </c>
      <c r="E15" s="55" t="n">
        <f aca="false">E5*Assumptions!D13</f>
        <v>1305.5903432</v>
      </c>
      <c r="F15" s="55" t="n">
        <f aca="false">F5*Assumptions!E13</f>
        <v>1419.532773152</v>
      </c>
      <c r="G15" s="55" t="n">
        <f aca="false">G5*Assumptions!F13</f>
        <v>1540.50165295104</v>
      </c>
      <c r="H15" s="55" t="n">
        <f aca="false">H5*Assumptions!G13</f>
        <v>1602.12171906908</v>
      </c>
    </row>
    <row r="16" customFormat="false" ht="15" hidden="false" customHeight="false" outlineLevel="0" collapsed="false">
      <c r="A16" s="2" t="s">
        <v>240</v>
      </c>
      <c r="B16" s="16" t="n">
        <f aca="false">Income_Statement!D58</f>
        <v>13209</v>
      </c>
      <c r="C16" s="55" t="n">
        <f aca="false">C6*Assumptions!B14</f>
        <v>12288.8376</v>
      </c>
      <c r="D16" s="55" t="n">
        <f aca="false">D6*Assumptions!C14</f>
        <v>12411.725976</v>
      </c>
      <c r="E16" s="55" t="n">
        <f aca="false">E6*Assumptions!D14</f>
        <v>13415.615577</v>
      </c>
      <c r="F16" s="55" t="n">
        <f aca="false">F6*Assumptions!E14</f>
        <v>14626.854011952</v>
      </c>
      <c r="G16" s="55" t="n">
        <f aca="false">G6*Assumptions!F14</f>
        <v>15719.8050478451</v>
      </c>
      <c r="H16" s="55" t="n">
        <f aca="false">H6*Assumptions!G14</f>
        <v>16505.7953002373</v>
      </c>
    </row>
    <row r="17" customFormat="false" ht="15" hidden="false" customHeight="false" outlineLevel="0" collapsed="false">
      <c r="A17" s="2" t="s">
        <v>241</v>
      </c>
      <c r="B17" s="16" t="n">
        <f aca="false">Income_Statement!D59</f>
        <v>727</v>
      </c>
      <c r="C17" s="55" t="n">
        <f aca="false">C7*Assumptions!B15</f>
        <v>769.3746</v>
      </c>
      <c r="D17" s="55" t="n">
        <f aca="false">D7*Assumptions!C15</f>
        <v>792.455838</v>
      </c>
      <c r="E17" s="55" t="n">
        <f aca="false">E7*Assumptions!D15</f>
        <v>867.5306016</v>
      </c>
      <c r="F17" s="55" t="n">
        <f aca="false">F7*Assumptions!E15</f>
        <v>947.3434169472</v>
      </c>
      <c r="G17" s="55" t="n">
        <f aca="false">G7*Assumptions!F15</f>
        <v>1032.15320855962</v>
      </c>
      <c r="H17" s="55" t="n">
        <f aca="false">H7*Assumptions!G15</f>
        <v>1073.439336902</v>
      </c>
    </row>
    <row r="18" customFormat="false" ht="15" hidden="false" customHeight="false" outlineLevel="0" collapsed="false">
      <c r="A18" s="2" t="s">
        <v>242</v>
      </c>
      <c r="B18" s="16" t="n">
        <f aca="false">Income_Statement!D60</f>
        <v>1514</v>
      </c>
      <c r="C18" s="55" t="n">
        <f aca="false">C8*Assumptions!B16</f>
        <v>1652.6085</v>
      </c>
      <c r="D18" s="55" t="n">
        <f aca="false">D8*Assumptions!C16</f>
        <v>1810.157177</v>
      </c>
      <c r="E18" s="55" t="n">
        <f aca="false">E8*Assumptions!D16</f>
        <v>2042.55800166</v>
      </c>
      <c r="F18" s="55" t="n">
        <f aca="false">F8*Assumptions!E16</f>
        <v>2296.330359442</v>
      </c>
      <c r="G18" s="55" t="n">
        <f aca="false">G8*Assumptions!F16</f>
        <v>2480.03678819736</v>
      </c>
      <c r="H18" s="55" t="n">
        <f aca="false">H8*Assumptions!G16</f>
        <v>2604.03862760723</v>
      </c>
    </row>
    <row r="19" customFormat="false" ht="15" hidden="false" customHeight="false" outlineLevel="0" collapsed="false">
      <c r="A19" s="2" t="s">
        <v>243</v>
      </c>
      <c r="B19" s="16" t="n">
        <f aca="false">Income_Statement!D61</f>
        <v>1780</v>
      </c>
      <c r="C19" s="55" t="n">
        <f aca="false">C9*Assumptions!B17</f>
        <v>1832.57</v>
      </c>
      <c r="D19" s="55" t="n">
        <f aca="false">D9*Assumptions!C17</f>
        <v>1869.2214</v>
      </c>
      <c r="E19" s="55" t="n">
        <f aca="false">E9*Assumptions!D17</f>
        <v>2060.8165935</v>
      </c>
      <c r="F19" s="55" t="n">
        <f aca="false">F9*Assumptions!E17</f>
        <v>2163.857423175</v>
      </c>
      <c r="G19" s="55" t="n">
        <f aca="false">G9*Assumptions!F17</f>
        <v>2380.2431654925</v>
      </c>
      <c r="H19" s="55" t="n">
        <f aca="false">H9*Assumptions!G17</f>
        <v>2475.4528921122</v>
      </c>
    </row>
    <row r="20" customFormat="false" ht="15" hidden="false" customHeight="false" outlineLevel="0" collapsed="false">
      <c r="A20" s="2" t="s">
        <v>244</v>
      </c>
      <c r="B20" s="16" t="n">
        <f aca="false">Income_Statement!D62</f>
        <v>-491</v>
      </c>
      <c r="C20" s="55" t="n">
        <f aca="false">Assumptions!B18</f>
        <v>-480</v>
      </c>
      <c r="D20" s="55" t="n">
        <f aca="false">Assumptions!C18</f>
        <v>-480</v>
      </c>
      <c r="E20" s="55" t="n">
        <f aca="false">Assumptions!D18</f>
        <v>-490</v>
      </c>
      <c r="F20" s="55" t="n">
        <f aca="false">Assumptions!E18</f>
        <v>-500</v>
      </c>
      <c r="G20" s="55" t="n">
        <f aca="false">Assumptions!F18</f>
        <v>-510</v>
      </c>
      <c r="H20" s="55" t="n">
        <f aca="false">Assumptions!G18</f>
        <v>-520</v>
      </c>
    </row>
    <row r="21" customFormat="false" ht="15" hidden="false" customHeight="false" outlineLevel="0" collapsed="false">
      <c r="A21" s="13" t="s">
        <v>272</v>
      </c>
      <c r="B21" s="48" t="n">
        <f aca="false">SUM(B15:B20)</f>
        <v>17755</v>
      </c>
      <c r="C21" s="56" t="n">
        <f aca="false">SUM(C15:C20)</f>
        <v>17199.10095</v>
      </c>
      <c r="D21" s="56" t="n">
        <f aca="false">SUM(D15:D20)</f>
        <v>17601.873206</v>
      </c>
      <c r="E21" s="56" t="n">
        <f aca="false">SUM(E15:E20)</f>
        <v>19202.11111696</v>
      </c>
      <c r="F21" s="56" t="n">
        <f aca="false">SUM(F15:F20)</f>
        <v>20953.9179846682</v>
      </c>
      <c r="G21" s="56" t="n">
        <f aca="false">SUM(G15:G20)</f>
        <v>22642.7398630456</v>
      </c>
      <c r="H21" s="56" t="n">
        <f aca="false">SUM(H15:H20)</f>
        <v>23740.8478759278</v>
      </c>
    </row>
    <row r="22" customFormat="false" ht="15" hidden="false" customHeight="false" outlineLevel="0" collapsed="false">
      <c r="A22" s="11" t="s">
        <v>232</v>
      </c>
      <c r="B22" s="12" t="n">
        <f aca="false">B21/B11</f>
        <v>0.219721063769228</v>
      </c>
      <c r="C22" s="12" t="n">
        <f aca="false">C21/C11</f>
        <v>0.215248513018085</v>
      </c>
      <c r="D22" s="12" t="n">
        <f aca="false">D21/D11</f>
        <v>0.215440943917588</v>
      </c>
      <c r="E22" s="12" t="n">
        <f aca="false">E21/E11</f>
        <v>0.223998976849707</v>
      </c>
      <c r="F22" s="12" t="n">
        <f aca="false">F21/F11</f>
        <v>0.231964579110097</v>
      </c>
      <c r="G22" s="12" t="n">
        <f aca="false">G21/G11</f>
        <v>0.238182958320152</v>
      </c>
      <c r="H22" s="12" t="n">
        <f aca="false">H21/H11</f>
        <v>0.238830951027564</v>
      </c>
    </row>
    <row r="24" customFormat="false" ht="15" hidden="false" customHeight="false" outlineLevel="0" collapsed="false">
      <c r="A24" s="8" t="s">
        <v>273</v>
      </c>
    </row>
    <row r="25" customFormat="false" ht="15" hidden="false" customHeight="false" outlineLevel="0" collapsed="false">
      <c r="A25" s="2" t="s">
        <v>274</v>
      </c>
      <c r="C25" s="54" t="n">
        <f aca="false">C21</f>
        <v>17199.10095</v>
      </c>
      <c r="D25" s="54" t="n">
        <f aca="false">D21</f>
        <v>17601.873206</v>
      </c>
      <c r="E25" s="54" t="n">
        <f aca="false">E21</f>
        <v>19202.11111696</v>
      </c>
      <c r="F25" s="54" t="n">
        <f aca="false">F21</f>
        <v>20953.9179846682</v>
      </c>
      <c r="G25" s="54" t="n">
        <f aca="false">G21</f>
        <v>22642.7398630456</v>
      </c>
      <c r="H25" s="54" t="n">
        <f aca="false">H21</f>
        <v>23740.8478759278</v>
      </c>
    </row>
    <row r="26" customFormat="false" ht="15" hidden="false" customHeight="false" outlineLevel="0" collapsed="false">
      <c r="A26" s="2" t="s">
        <v>275</v>
      </c>
      <c r="C26" s="55" t="n">
        <f aca="false">-C25*Assumptions!B24</f>
        <v>-5159.730285</v>
      </c>
      <c r="D26" s="55" t="n">
        <f aca="false">-D25*Assumptions!C24</f>
        <v>-4752.50576562</v>
      </c>
      <c r="E26" s="55" t="n">
        <f aca="false">-E25*Assumptions!D24</f>
        <v>-5184.5700015792</v>
      </c>
      <c r="F26" s="55" t="n">
        <f aca="false">-F25*Assumptions!E24</f>
        <v>-5657.55785586041</v>
      </c>
      <c r="G26" s="55" t="n">
        <f aca="false">-G25*Assumptions!F24</f>
        <v>-6113.53976302231</v>
      </c>
      <c r="H26" s="55" t="n">
        <f aca="false">-H25*Assumptions!G24</f>
        <v>-6410.02892650052</v>
      </c>
    </row>
    <row r="27" customFormat="false" ht="15" hidden="false" customHeight="false" outlineLevel="0" collapsed="false">
      <c r="A27" s="13" t="s">
        <v>276</v>
      </c>
      <c r="B27" s="15"/>
      <c r="C27" s="56" t="n">
        <f aca="false">C25+C26</f>
        <v>12039.370665</v>
      </c>
      <c r="D27" s="56" t="n">
        <f aca="false">D25+D26</f>
        <v>12849.36744038</v>
      </c>
      <c r="E27" s="56" t="n">
        <f aca="false">E25+E26</f>
        <v>14017.5411153808</v>
      </c>
      <c r="F27" s="56" t="n">
        <f aca="false">F25+F26</f>
        <v>15296.3601288078</v>
      </c>
      <c r="G27" s="56" t="n">
        <f aca="false">G25+G26</f>
        <v>16529.2001000233</v>
      </c>
      <c r="H27" s="56" t="n">
        <f aca="false">H25+H26</f>
        <v>17330.8189494273</v>
      </c>
    </row>
    <row r="28" customFormat="false" ht="15" hidden="false" customHeight="false" outlineLevel="0" collapsed="false">
      <c r="A28" s="2" t="s">
        <v>277</v>
      </c>
      <c r="C28" s="55" t="n">
        <f aca="false">C11*Assumptions!B20</f>
        <v>4474.59376</v>
      </c>
      <c r="D28" s="55" t="n">
        <f aca="false">D11*Assumptions!C20</f>
        <v>4575.2904792</v>
      </c>
      <c r="E28" s="55" t="n">
        <f aca="false">E11*Assumptions!D20</f>
        <v>4800.5497064</v>
      </c>
      <c r="F28" s="55" t="n">
        <f aca="false">F11*Assumptions!E20</f>
        <v>5058.61460246688</v>
      </c>
      <c r="G28" s="55" t="n">
        <f aca="false">G11*Assumptions!F20</f>
        <v>5323.61106467656</v>
      </c>
      <c r="H28" s="55" t="n">
        <f aca="false">H11*Assumptions!G20</f>
        <v>5566.64651433105</v>
      </c>
    </row>
    <row r="29" customFormat="false" ht="15" hidden="false" customHeight="false" outlineLevel="0" collapsed="false">
      <c r="A29" s="2" t="s">
        <v>278</v>
      </c>
      <c r="C29" s="55" t="n">
        <f aca="false">-C11*Assumptions!B21</f>
        <v>-4394.6903</v>
      </c>
      <c r="D29" s="55" t="n">
        <f aca="false">-D11*Assumptions!C21</f>
        <v>-4738.6937106</v>
      </c>
      <c r="E29" s="55" t="n">
        <f aca="false">-E11*Assumptions!D21</f>
        <v>-5143.446114</v>
      </c>
      <c r="F29" s="55" t="n">
        <f aca="false">-F11*Assumptions!E21</f>
        <v>-5419.9442169288</v>
      </c>
      <c r="G29" s="55" t="n">
        <f aca="false">-G11*Assumptions!F21</f>
        <v>-5703.86899786774</v>
      </c>
      <c r="H29" s="55" t="n">
        <f aca="false">-H11*Assumptions!G21</f>
        <v>-5964.26412249755</v>
      </c>
    </row>
    <row r="30" customFormat="false" ht="15" hidden="false" customHeight="false" outlineLevel="0" collapsed="false">
      <c r="A30" s="2" t="s">
        <v>279</v>
      </c>
      <c r="C30" s="55" t="n">
        <f aca="false">C11*Assumptions!B22</f>
        <v>-799.0346</v>
      </c>
      <c r="D30" s="55" t="n">
        <f aca="false">D11*Assumptions!C22</f>
        <v>-653.6129256</v>
      </c>
      <c r="E30" s="55" t="n">
        <f aca="false">E11*Assumptions!D22</f>
        <v>-685.7928152</v>
      </c>
      <c r="F30" s="55" t="n">
        <f aca="false">F11*Assumptions!E22</f>
        <v>-722.65922892384</v>
      </c>
      <c r="G30" s="55" t="n">
        <f aca="false">G11*Assumptions!F22</f>
        <v>-760.515866382365</v>
      </c>
      <c r="H30" s="55" t="n">
        <f aca="false">H11*Assumptions!G22</f>
        <v>-795.235216333007</v>
      </c>
    </row>
    <row r="31" customFormat="false" ht="15" hidden="false" customHeight="false" outlineLevel="0" collapsed="false">
      <c r="A31" s="2" t="s">
        <v>280</v>
      </c>
      <c r="C31" s="55" t="n">
        <f aca="false">-C11*Assumptions!B23</f>
        <v>-399.5173</v>
      </c>
      <c r="D31" s="55" t="n">
        <f aca="false">-D11*Assumptions!C23</f>
        <v>-408.5080785</v>
      </c>
      <c r="E31" s="55" t="n">
        <f aca="false">-E11*Assumptions!D23</f>
        <v>-428.6205095</v>
      </c>
      <c r="F31" s="55" t="n">
        <f aca="false">-F11*Assumptions!E23</f>
        <v>-451.6620180774</v>
      </c>
      <c r="G31" s="55" t="n">
        <f aca="false">-G11*Assumptions!F23</f>
        <v>-475.322416488978</v>
      </c>
      <c r="H31" s="55" t="n">
        <f aca="false">-H11*Assumptions!G23</f>
        <v>-497.022010208129</v>
      </c>
    </row>
    <row r="32" customFormat="false" ht="15" hidden="false" customHeight="false" outlineLevel="0" collapsed="false">
      <c r="A32" s="13" t="s">
        <v>281</v>
      </c>
      <c r="B32" s="58"/>
      <c r="C32" s="56" t="n">
        <f aca="false">SUM(C27:C31)</f>
        <v>10920.722225</v>
      </c>
      <c r="D32" s="56" t="n">
        <f aca="false">SUM(D27:D31)</f>
        <v>11623.84320488</v>
      </c>
      <c r="E32" s="56" t="n">
        <f aca="false">SUM(E27:E31)</f>
        <v>12560.2313830808</v>
      </c>
      <c r="F32" s="56" t="n">
        <f aca="false">SUM(F27:F31)</f>
        <v>13760.7092673446</v>
      </c>
      <c r="G32" s="56" t="n">
        <f aca="false">SUM(G27:G31)</f>
        <v>14913.1038839608</v>
      </c>
      <c r="H32" s="56" t="n">
        <f aca="false">SUM(H27:H31)</f>
        <v>15640.9441147197</v>
      </c>
    </row>
    <row r="33" customFormat="false" ht="15" hidden="false" customHeight="false" outlineLevel="0" collapsed="false">
      <c r="A33" s="11" t="s">
        <v>282</v>
      </c>
      <c r="C33" s="59" t="n">
        <f aca="false">C32/C27</f>
        <v>0.907084143255756</v>
      </c>
      <c r="D33" s="59" t="n">
        <f aca="false">D32/D27</f>
        <v>0.904623769132112</v>
      </c>
      <c r="E33" s="59" t="n">
        <f aca="false">E32/E27</f>
        <v>0.896036707129686</v>
      </c>
      <c r="F33" s="59" t="n">
        <f aca="false">F32/F27</f>
        <v>0.89960677909439</v>
      </c>
      <c r="G33" s="59" t="n">
        <f aca="false">G32/G27</f>
        <v>0.902227802538355</v>
      </c>
      <c r="H33" s="59" t="n">
        <f aca="false">H32/H27</f>
        <v>0.902493076660784</v>
      </c>
    </row>
    <row r="34" customFormat="false" ht="15" hidden="false" customHeight="false" outlineLevel="0" collapsed="false">
      <c r="A34" s="13" t="s">
        <v>283</v>
      </c>
      <c r="B34" s="60" t="n">
        <f aca="false">Income_Statement!D39</f>
        <v>22237</v>
      </c>
      <c r="C34" s="56" t="n">
        <f aca="false">C25+C28+C31</f>
        <v>21274.17741</v>
      </c>
      <c r="D34" s="56" t="n">
        <f aca="false">D25+D28+D31</f>
        <v>21768.6556067</v>
      </c>
      <c r="E34" s="56" t="n">
        <f aca="false">E25+E28+E31</f>
        <v>23574.04031386</v>
      </c>
      <c r="F34" s="56" t="n">
        <f aca="false">F25+F28+F31</f>
        <v>25560.8705690577</v>
      </c>
      <c r="G34" s="56" t="n">
        <f aca="false">G25+G28+G31</f>
        <v>27491.0285112332</v>
      </c>
      <c r="H34" s="56" t="n">
        <f aca="false">H25+H28+H31</f>
        <v>28810.4723800508</v>
      </c>
    </row>
    <row r="35" customFormat="false" ht="15" hidden="false" customHeight="false" outlineLevel="0" collapsed="false">
      <c r="A35" s="11" t="s">
        <v>235</v>
      </c>
      <c r="C35" s="59" t="n">
        <f aca="false">C34/C11</f>
        <v>0.266248513018085</v>
      </c>
      <c r="D35" s="59" t="n">
        <f aca="false">D34/D11</f>
        <v>0.266440943917588</v>
      </c>
      <c r="E35" s="59" t="n">
        <f aca="false">E34/E11</f>
        <v>0.274998976849707</v>
      </c>
      <c r="F35" s="59" t="n">
        <f aca="false">F34/F11</f>
        <v>0.282964579110097</v>
      </c>
      <c r="G35" s="59" t="n">
        <f aca="false">G34/G11</f>
        <v>0.289182958320152</v>
      </c>
      <c r="H35" s="59" t="n">
        <f aca="false">H34/H11</f>
        <v>0.289830951027564</v>
      </c>
    </row>
    <row r="37" customFormat="false" ht="15" hidden="false" customHeight="false" outlineLevel="0" collapsed="false">
      <c r="A37" s="2" t="s">
        <v>284</v>
      </c>
      <c r="C37" s="9" t="s">
        <v>285</v>
      </c>
      <c r="D37" s="61" t="n">
        <v>1</v>
      </c>
      <c r="E37" s="61" t="n">
        <v>2</v>
      </c>
      <c r="F37" s="61" t="n">
        <v>3</v>
      </c>
      <c r="G37" s="61" t="n">
        <v>4</v>
      </c>
      <c r="H37" s="61" t="n">
        <v>5</v>
      </c>
    </row>
    <row r="38" customFormat="false" ht="15" hidden="false" customHeight="false" outlineLevel="0" collapsed="false">
      <c r="A38" s="2" t="s">
        <v>286</v>
      </c>
      <c r="D38" s="62" t="n">
        <f aca="false">1/(1+WACC!$B$21)^D37</f>
        <v>0.924969436846857</v>
      </c>
      <c r="E38" s="62" t="n">
        <f aca="false">1/(1+WACC!$B$21)^E37</f>
        <v>0.855568459100792</v>
      </c>
      <c r="F38" s="62" t="n">
        <f aca="false">1/(1+WACC!$B$21)^F37</f>
        <v>0.791374675798393</v>
      </c>
      <c r="G38" s="62" t="n">
        <f aca="false">1/(1+WACC!$B$21)^G37</f>
        <v>0.731997388208104</v>
      </c>
      <c r="H38" s="62" t="n">
        <f aca="false">1/(1+WACC!$B$21)^H37</f>
        <v>0.67707521194422</v>
      </c>
    </row>
    <row r="39" customFormat="false" ht="15" hidden="false" customHeight="false" outlineLevel="0" collapsed="false">
      <c r="A39" s="2" t="s">
        <v>287</v>
      </c>
      <c r="D39" s="54" t="n">
        <f aca="false">D32*D38</f>
        <v>10751.699703214</v>
      </c>
      <c r="E39" s="54" t="n">
        <f aca="false">E32*E38</f>
        <v>10746.1378103719</v>
      </c>
      <c r="F39" s="54" t="n">
        <f aca="false">F32*F38</f>
        <v>10889.8768352008</v>
      </c>
      <c r="G39" s="54" t="n">
        <f aca="false">G32*G38</f>
        <v>10916.3530931354</v>
      </c>
      <c r="H39" s="54" t="n">
        <f aca="false">H32*H38</f>
        <v>10590.0955514815</v>
      </c>
    </row>
    <row r="41" customFormat="false" ht="15" hidden="false" customHeight="false" outlineLevel="0" collapsed="false">
      <c r="A41" s="13" t="s">
        <v>288</v>
      </c>
      <c r="B41" s="56" t="n">
        <f aca="false">SUM(D39:H39)</f>
        <v>53894.1629934036</v>
      </c>
    </row>
    <row r="42" customFormat="false" ht="15" hidden="false" customHeight="false" outlineLevel="0" collapsed="false">
      <c r="A42" s="2" t="s">
        <v>289</v>
      </c>
      <c r="B42" s="55" t="n">
        <f aca="false">H32*(1+Assumptions!$B$30)/(WACC!$B$21-Assumptions!$B$30)</f>
        <v>285689.258748984</v>
      </c>
    </row>
    <row r="43" customFormat="false" ht="15" hidden="false" customHeight="false" outlineLevel="0" collapsed="false">
      <c r="A43" s="2" t="s">
        <v>290</v>
      </c>
      <c r="B43" s="54" t="n">
        <f aca="false">H34</f>
        <v>28810.4723800508</v>
      </c>
    </row>
    <row r="44" customFormat="false" ht="15" hidden="false" customHeight="false" outlineLevel="0" collapsed="false">
      <c r="A44" s="2" t="s">
        <v>291</v>
      </c>
      <c r="B44" s="55" t="n">
        <f aca="false">B43*Assumptions!$B$31</f>
        <v>316915.196180558</v>
      </c>
    </row>
    <row r="45" customFormat="false" ht="15" hidden="false" customHeight="false" outlineLevel="0" collapsed="false">
      <c r="A45" s="2" t="s">
        <v>292</v>
      </c>
      <c r="B45" s="54" t="n">
        <f aca="false">B42*H38</f>
        <v>193433.115417655</v>
      </c>
    </row>
    <row r="46" customFormat="false" ht="15" hidden="false" customHeight="false" outlineLevel="0" collapsed="false">
      <c r="A46" s="2" t="s">
        <v>293</v>
      </c>
      <c r="B46" s="54" t="n">
        <f aca="false">B44*H38</f>
        <v>214575.423622296</v>
      </c>
    </row>
    <row r="47" customFormat="false" ht="15" hidden="false" customHeight="false" outlineLevel="0" collapsed="false">
      <c r="A47" s="13" t="s">
        <v>294</v>
      </c>
      <c r="B47" s="56" t="n">
        <f aca="false">B41+B45</f>
        <v>247327.278411059</v>
      </c>
    </row>
    <row r="48" customFormat="false" ht="15" hidden="false" customHeight="false" outlineLevel="0" collapsed="false">
      <c r="A48" s="13" t="s">
        <v>295</v>
      </c>
      <c r="B48" s="56" t="n">
        <f aca="false">B41+B46</f>
        <v>268469.586615699</v>
      </c>
    </row>
    <row r="49" customFormat="false" ht="15" hidden="false" customHeight="false" outlineLevel="0" collapsed="false">
      <c r="A49" s="2" t="s">
        <v>296</v>
      </c>
      <c r="B49" s="63" t="n">
        <f aca="false">B45/B47</f>
        <v>0.782093736931713</v>
      </c>
    </row>
    <row r="50" customFormat="false" ht="15" hidden="false" customHeight="false" outlineLevel="0" collapsed="false">
      <c r="A50" s="2" t="s">
        <v>297</v>
      </c>
      <c r="B50" s="64" t="n">
        <f aca="false">B42/B43</f>
        <v>9.91616017191038</v>
      </c>
    </row>
    <row r="51" customFormat="false" ht="15" hidden="false" customHeight="false" outlineLevel="0" collapsed="false">
      <c r="A51" s="2" t="s">
        <v>298</v>
      </c>
      <c r="B51" s="65" t="n">
        <f aca="false">(B44*WACC!$B$21-H32)/(B44+H32)</f>
        <v>0.0302691848150617</v>
      </c>
    </row>
    <row r="53" customFormat="false" ht="15" hidden="false" customHeight="false" outlineLevel="0" collapsed="false">
      <c r="A53" s="8" t="s">
        <v>299</v>
      </c>
    </row>
    <row r="54" customFormat="false" ht="15" hidden="false" customHeight="false" outlineLevel="0" collapsed="false">
      <c r="A54" s="2" t="s">
        <v>300</v>
      </c>
      <c r="B54" s="49" t="n">
        <f aca="false">C21</f>
        <v>17199.10095</v>
      </c>
    </row>
    <row r="55" customFormat="false" ht="15" hidden="false" customHeight="false" outlineLevel="0" collapsed="false">
      <c r="A55" s="2" t="s">
        <v>206</v>
      </c>
      <c r="B55" s="16" t="n">
        <f aca="false">Assumptions!B33</f>
        <v>-300</v>
      </c>
    </row>
    <row r="56" customFormat="false" ht="15" hidden="false" customHeight="false" outlineLevel="0" collapsed="false">
      <c r="A56" s="2" t="s">
        <v>211</v>
      </c>
      <c r="B56" s="16" t="n">
        <f aca="false">Assumptions!B34</f>
        <v>-300</v>
      </c>
    </row>
    <row r="57" customFormat="false" ht="15" hidden="false" customHeight="false" outlineLevel="0" collapsed="false">
      <c r="A57" s="2" t="s">
        <v>212</v>
      </c>
      <c r="B57" s="16" t="n">
        <f aca="false">-(B54+B55+B56)*Assumptions!B24</f>
        <v>-4979.730285</v>
      </c>
    </row>
    <row r="58" customFormat="false" ht="15" hidden="false" customHeight="false" outlineLevel="0" collapsed="false">
      <c r="A58" s="2" t="s">
        <v>214</v>
      </c>
      <c r="B58" s="16" t="n">
        <f aca="false">Assumptions!B35</f>
        <v>-600</v>
      </c>
    </row>
    <row r="59" customFormat="false" ht="15" hidden="false" customHeight="false" outlineLevel="0" collapsed="false">
      <c r="A59" s="4" t="s">
        <v>301</v>
      </c>
      <c r="B59" s="66" t="n">
        <f aca="false">SUM(B54:B58)</f>
        <v>11019.370665</v>
      </c>
    </row>
    <row r="60" customFormat="false" ht="15" hidden="false" customHeight="false" outlineLevel="0" collapsed="false">
      <c r="A60" s="4" t="s">
        <v>302</v>
      </c>
      <c r="B60" s="67" t="n">
        <f aca="false">B59/WACC!B15</f>
        <v>22.263243881299</v>
      </c>
    </row>
    <row r="62" customFormat="false" ht="15" hidden="false" customHeight="false" outlineLevel="0" collapsed="false">
      <c r="A62" s="8" t="s">
        <v>303</v>
      </c>
    </row>
    <row r="63" customFormat="false" ht="15" hidden="false" customHeight="false" outlineLevel="0" collapsed="false">
      <c r="A63" s="2" t="s">
        <v>304</v>
      </c>
      <c r="B63" s="68" t="s">
        <v>194</v>
      </c>
      <c r="C63" s="68" t="s">
        <v>195</v>
      </c>
      <c r="D63" s="68" t="s">
        <v>196</v>
      </c>
      <c r="E63" s="68" t="s">
        <v>127</v>
      </c>
      <c r="F63" s="68" t="s">
        <v>128</v>
      </c>
      <c r="G63" s="68" t="s">
        <v>129</v>
      </c>
      <c r="H63" s="68" t="s">
        <v>130</v>
      </c>
      <c r="I63" s="68" t="s">
        <v>131</v>
      </c>
      <c r="J63" s="68" t="s">
        <v>132</v>
      </c>
    </row>
    <row r="64" customFormat="false" ht="15" hidden="false" customHeight="false" outlineLevel="0" collapsed="false">
      <c r="A64" s="2" t="s">
        <v>199</v>
      </c>
      <c r="B64" s="16" t="n">
        <f aca="false">Income_Statement!B4</f>
        <v>86153</v>
      </c>
      <c r="C64" s="16" t="n">
        <f aca="false">Income_Statement!C4</f>
        <v>84683</v>
      </c>
      <c r="D64" s="16" t="n">
        <f aca="false">Income_Statement!D4</f>
        <v>80807</v>
      </c>
      <c r="E64" s="49" t="n">
        <f aca="false">C11</f>
        <v>79903.46</v>
      </c>
      <c r="F64" s="49" t="n">
        <f aca="false">D11</f>
        <v>81701.6157</v>
      </c>
      <c r="G64" s="49" t="n">
        <f aca="false">E11</f>
        <v>85724.1019</v>
      </c>
      <c r="H64" s="49" t="n">
        <f aca="false">F11</f>
        <v>90332.40361548</v>
      </c>
      <c r="I64" s="49" t="n">
        <f aca="false">G11</f>
        <v>95064.4832977956</v>
      </c>
      <c r="J64" s="49" t="n">
        <f aca="false">H11</f>
        <v>99404.4020416259</v>
      </c>
    </row>
    <row r="65" customFormat="false" ht="15" hidden="false" customHeight="false" outlineLevel="0" collapsed="false">
      <c r="A65" s="2" t="s">
        <v>305</v>
      </c>
      <c r="B65" s="16" t="n">
        <f aca="false">Income_Statement!B10</f>
        <v>22802</v>
      </c>
      <c r="C65" s="16" t="n">
        <f aca="false">Income_Statement!C10</f>
        <v>19571</v>
      </c>
      <c r="D65" s="16" t="n">
        <f aca="false">Income_Statement!D10</f>
        <v>17755</v>
      </c>
      <c r="E65" s="49" t="n">
        <f aca="false">C21</f>
        <v>17199.10095</v>
      </c>
      <c r="F65" s="49" t="n">
        <f aca="false">D21</f>
        <v>17601.873206</v>
      </c>
      <c r="G65" s="49" t="n">
        <f aca="false">E21</f>
        <v>19202.11111696</v>
      </c>
      <c r="H65" s="49" t="n">
        <f aca="false">F21</f>
        <v>20953.9179846682</v>
      </c>
      <c r="I65" s="49" t="n">
        <f aca="false">G21</f>
        <v>22642.7398630456</v>
      </c>
      <c r="J65" s="49" t="n">
        <f aca="false">H21</f>
        <v>23740.8478759278</v>
      </c>
    </row>
    <row r="66" customFormat="false" ht="15" hidden="false" customHeight="false" outlineLevel="0" collapsed="false">
      <c r="A66" s="2" t="s">
        <v>306</v>
      </c>
      <c r="B66" s="51" t="n">
        <f aca="false">B65/B64</f>
        <v>0.264668670853017</v>
      </c>
      <c r="C66" s="51" t="n">
        <f aca="false">C65/C64</f>
        <v>0.231108959295254</v>
      </c>
      <c r="D66" s="51" t="n">
        <f aca="false">D65/D64</f>
        <v>0.219721063769228</v>
      </c>
      <c r="E66" s="51" t="n">
        <f aca="false">E65/E64</f>
        <v>0.215248513018085</v>
      </c>
      <c r="F66" s="51" t="n">
        <f aca="false">F65/F64</f>
        <v>0.215440943917588</v>
      </c>
      <c r="G66" s="51" t="n">
        <f aca="false">G65/G64</f>
        <v>0.223998976849707</v>
      </c>
      <c r="H66" s="51" t="n">
        <f aca="false">H65/H64</f>
        <v>0.231964579110097</v>
      </c>
      <c r="I66" s="51" t="n">
        <f aca="false">I65/I64</f>
        <v>0.238182958320152</v>
      </c>
      <c r="J66" s="51" t="n">
        <f aca="false">J65/J64</f>
        <v>0.238830951027564</v>
      </c>
    </row>
    <row r="68" customFormat="false" ht="15" hidden="false" customHeight="false" outlineLevel="0" collapsed="false">
      <c r="A68" s="8" t="s">
        <v>307</v>
      </c>
    </row>
    <row r="69" customFormat="false" ht="15" hidden="false" customHeight="false" outlineLevel="0" collapsed="false">
      <c r="A69" s="2" t="s">
        <v>308</v>
      </c>
      <c r="C69" s="68" t="s">
        <v>309</v>
      </c>
      <c r="D69" s="68" t="s">
        <v>128</v>
      </c>
      <c r="E69" s="68" t="s">
        <v>129</v>
      </c>
      <c r="F69" s="68" t="s">
        <v>130</v>
      </c>
      <c r="G69" s="68" t="s">
        <v>131</v>
      </c>
      <c r="H69" s="68" t="s">
        <v>132</v>
      </c>
    </row>
    <row r="70" customFormat="false" ht="15" hidden="false" customHeight="false" outlineLevel="0" collapsed="false">
      <c r="A70" s="2" t="s">
        <v>310</v>
      </c>
      <c r="C70" s="16" t="n">
        <f aca="false">Data!$B$12</f>
        <v>8245</v>
      </c>
      <c r="D70" s="49" t="n">
        <f aca="false">C75</f>
        <v>4771.546775</v>
      </c>
      <c r="E70" s="49" t="n">
        <f aca="false">D75</f>
        <v>1332.15757012</v>
      </c>
      <c r="F70" s="49" t="n">
        <f aca="false">E75</f>
        <v>-2796.1408129608</v>
      </c>
      <c r="G70" s="49" t="n">
        <f aca="false">F75</f>
        <v>-7877.43808030542</v>
      </c>
      <c r="H70" s="49" t="n">
        <f aca="false">G75</f>
        <v>-13863.6509642662</v>
      </c>
    </row>
    <row r="71" customFormat="false" ht="15" hidden="false" customHeight="false" outlineLevel="0" collapsed="false">
      <c r="A71" s="2" t="s">
        <v>311</v>
      </c>
      <c r="C71" s="16" t="n">
        <f aca="false">-(C32-Data!$B$18)</f>
        <v>-6820.722225</v>
      </c>
      <c r="D71" s="49" t="n">
        <f aca="false">-D32</f>
        <v>-11623.84320488</v>
      </c>
      <c r="E71" s="49" t="n">
        <f aca="false">-E32</f>
        <v>-12560.2313830808</v>
      </c>
      <c r="F71" s="49" t="n">
        <f aca="false">-F32</f>
        <v>-13760.7092673446</v>
      </c>
      <c r="G71" s="49" t="n">
        <f aca="false">-G32</f>
        <v>-14913.1038839608</v>
      </c>
      <c r="H71" s="49" t="n">
        <f aca="false">-H32</f>
        <v>-15640.9441147197</v>
      </c>
    </row>
    <row r="72" customFormat="false" ht="15" hidden="false" customHeight="false" outlineLevel="0" collapsed="false">
      <c r="A72" s="2" t="s">
        <v>312</v>
      </c>
      <c r="C72" s="16" t="n">
        <f aca="false">Assumptions!B28</f>
        <v>125</v>
      </c>
      <c r="D72" s="16" t="n">
        <f aca="false">Assumptions!C28</f>
        <v>250</v>
      </c>
      <c r="E72" s="16" t="n">
        <f aca="false">Assumptions!D28</f>
        <v>250</v>
      </c>
      <c r="F72" s="16" t="n">
        <f aca="false">Assumptions!E28</f>
        <v>250</v>
      </c>
      <c r="G72" s="16" t="n">
        <f aca="false">Assumptions!F28</f>
        <v>250</v>
      </c>
      <c r="H72" s="16" t="n">
        <f aca="false">Assumptions!G28</f>
        <v>250</v>
      </c>
    </row>
    <row r="73" customFormat="false" ht="15" hidden="false" customHeight="false" outlineLevel="0" collapsed="false">
      <c r="A73" s="2" t="s">
        <v>313</v>
      </c>
      <c r="C73" s="16" t="n">
        <f aca="false">Assumptions!B26*WACC!$B$15</f>
        <v>2722.269</v>
      </c>
      <c r="D73" s="16" t="n">
        <f aca="false">Assumptions!C26*WACC!$B$15</f>
        <v>6434.454</v>
      </c>
      <c r="E73" s="16" t="n">
        <f aca="false">Assumptions!D26*WACC!$B$15</f>
        <v>6681.933</v>
      </c>
      <c r="F73" s="16" t="n">
        <f aca="false">Assumptions!E26*WACC!$B$15</f>
        <v>6929.412</v>
      </c>
      <c r="G73" s="16" t="n">
        <f aca="false">Assumptions!F26*WACC!$B$15</f>
        <v>7176.891</v>
      </c>
      <c r="H73" s="16" t="n">
        <f aca="false">Assumptions!G26*WACC!$B$15</f>
        <v>7424.37</v>
      </c>
    </row>
    <row r="74" customFormat="false" ht="15" hidden="false" customHeight="false" outlineLevel="0" collapsed="false">
      <c r="A74" s="2" t="s">
        <v>314</v>
      </c>
      <c r="C74" s="16" t="n">
        <f aca="false">Assumptions!B27</f>
        <v>500</v>
      </c>
      <c r="D74" s="16" t="n">
        <f aca="false">Assumptions!C27</f>
        <v>1500</v>
      </c>
      <c r="E74" s="16" t="n">
        <f aca="false">Assumptions!D27</f>
        <v>1500</v>
      </c>
      <c r="F74" s="16" t="n">
        <f aca="false">Assumptions!E27</f>
        <v>1500</v>
      </c>
      <c r="G74" s="16" t="n">
        <f aca="false">Assumptions!F27</f>
        <v>1500</v>
      </c>
      <c r="H74" s="16" t="n">
        <f aca="false">Assumptions!G27</f>
        <v>1500</v>
      </c>
    </row>
    <row r="75" customFormat="false" ht="15" hidden="false" customHeight="false" outlineLevel="0" collapsed="false">
      <c r="A75" s="13" t="s">
        <v>315</v>
      </c>
      <c r="B75" s="15"/>
      <c r="C75" s="48" t="n">
        <f aca="false">SUM(C70:C74)</f>
        <v>4771.546775</v>
      </c>
      <c r="D75" s="48" t="n">
        <f aca="false">SUM(D70:D74)</f>
        <v>1332.15757012</v>
      </c>
      <c r="E75" s="48" t="n">
        <f aca="false">SUM(E70:E74)</f>
        <v>-2796.1408129608</v>
      </c>
      <c r="F75" s="48" t="n">
        <f aca="false">SUM(F70:F74)</f>
        <v>-7877.43808030542</v>
      </c>
      <c r="G75" s="48" t="n">
        <f aca="false">SUM(G70:G74)</f>
        <v>-13863.6509642662</v>
      </c>
      <c r="H75" s="48" t="n">
        <f aca="false">SUM(H70:H74)</f>
        <v>-20330.2250789859</v>
      </c>
    </row>
    <row r="76" customFormat="false" ht="15" hidden="false" customHeight="false" outlineLevel="0" collapsed="false">
      <c r="A76" s="2" t="s">
        <v>316</v>
      </c>
      <c r="C76" s="49" t="n">
        <f aca="false">C34</f>
        <v>21274.17741</v>
      </c>
      <c r="D76" s="49" t="n">
        <f aca="false">D34</f>
        <v>21768.6556067</v>
      </c>
      <c r="E76" s="49" t="n">
        <f aca="false">E34</f>
        <v>23574.04031386</v>
      </c>
      <c r="F76" s="49" t="n">
        <f aca="false">F34</f>
        <v>25560.8705690577</v>
      </c>
      <c r="G76" s="49" t="n">
        <f aca="false">G34</f>
        <v>27491.0285112332</v>
      </c>
      <c r="H76" s="49" t="n">
        <f aca="false">H34</f>
        <v>28810.4723800508</v>
      </c>
    </row>
    <row r="77" customFormat="false" ht="15" hidden="false" customHeight="false" outlineLevel="0" collapsed="false">
      <c r="A77" s="2" t="s">
        <v>317</v>
      </c>
      <c r="C77" s="69" t="n">
        <f aca="false">C75/C76</f>
        <v>0.224288191408854</v>
      </c>
      <c r="D77" s="69" t="n">
        <f aca="false">D75/D76</f>
        <v>0.0611961342118889</v>
      </c>
      <c r="E77" s="69" t="n">
        <f aca="false">E75/E76</f>
        <v>-0.118611013459447</v>
      </c>
      <c r="F77" s="69" t="n">
        <f aca="false">F75/F76</f>
        <v>-0.308183481428107</v>
      </c>
      <c r="G77" s="69" t="n">
        <f aca="false">G75/G76</f>
        <v>-0.504297282242508</v>
      </c>
      <c r="H77" s="69" t="n">
        <f aca="false">H75/H76</f>
        <v>-0.70565400007336</v>
      </c>
    </row>
    <row r="79" customFormat="false" ht="15" hidden="false" customHeight="false" outlineLevel="0" collapsed="false">
      <c r="A79" s="21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6.15" hidden="false" customHeight="false" outlineLevel="0" collapsed="false">
      <c r="B1" s="43" t="s">
        <v>319</v>
      </c>
    </row>
    <row r="3" customFormat="false" ht="15" hidden="false" customHeight="false" outlineLevel="0" collapsed="false">
      <c r="A3" s="22" t="s">
        <v>320</v>
      </c>
      <c r="B3" s="23" t="s">
        <v>321</v>
      </c>
      <c r="C3" s="23" t="s">
        <v>322</v>
      </c>
    </row>
    <row r="4" customFormat="false" ht="15" hidden="false" customHeight="false" outlineLevel="0" collapsed="false">
      <c r="A4" s="8" t="s">
        <v>323</v>
      </c>
    </row>
    <row r="5" customFormat="false" ht="15" hidden="false" customHeight="false" outlineLevel="0" collapsed="false">
      <c r="A5" s="2" t="s">
        <v>324</v>
      </c>
      <c r="B5" s="65" t="n">
        <f aca="false">Data!$B$19/100</f>
        <v>0.0337</v>
      </c>
      <c r="C5" s="21" t="s">
        <v>325</v>
      </c>
    </row>
    <row r="6" customFormat="false" ht="15" hidden="false" customHeight="false" outlineLevel="0" collapsed="false">
      <c r="A6" s="2" t="s">
        <v>326</v>
      </c>
      <c r="B6" s="65" t="n">
        <f aca="false">Data!$B$21/100</f>
        <v>0.055</v>
      </c>
      <c r="C6" s="21" t="s">
        <v>327</v>
      </c>
    </row>
    <row r="7" customFormat="false" ht="15" hidden="false" customHeight="false" outlineLevel="0" collapsed="false">
      <c r="A7" s="2" t="s">
        <v>328</v>
      </c>
      <c r="B7" s="70" t="n">
        <f aca="false">0.67*Data!$B$9+0.33</f>
        <v>0.9062</v>
      </c>
      <c r="C7" s="21" t="s">
        <v>329</v>
      </c>
    </row>
    <row r="8" customFormat="false" ht="15" hidden="false" customHeight="false" outlineLevel="0" collapsed="false">
      <c r="A8" s="2" t="s">
        <v>330</v>
      </c>
      <c r="B8" s="63" t="n">
        <f aca="false">B5+B7*B6</f>
        <v>0.083541</v>
      </c>
      <c r="C8" s="21" t="s">
        <v>331</v>
      </c>
    </row>
    <row r="9" customFormat="false" ht="15" hidden="false" customHeight="false" outlineLevel="0" collapsed="false">
      <c r="A9" s="8" t="s">
        <v>332</v>
      </c>
    </row>
    <row r="10" customFormat="false" ht="15" hidden="false" customHeight="false" outlineLevel="0" collapsed="false">
      <c r="A10" s="2" t="s">
        <v>333</v>
      </c>
      <c r="B10" s="65" t="n">
        <f aca="false">Data!$B$22/100</f>
        <v>0.03375</v>
      </c>
      <c r="C10" s="21" t="s">
        <v>334</v>
      </c>
    </row>
    <row r="11" customFormat="false" ht="15" hidden="false" customHeight="false" outlineLevel="0" collapsed="false">
      <c r="A11" s="2" t="s">
        <v>335</v>
      </c>
      <c r="B11" s="65" t="n">
        <f aca="false">Assumptions!C24</f>
        <v>0.27</v>
      </c>
      <c r="C11" s="21" t="s">
        <v>336</v>
      </c>
    </row>
    <row r="12" customFormat="false" ht="15" hidden="false" customHeight="false" outlineLevel="0" collapsed="false">
      <c r="A12" s="2" t="s">
        <v>337</v>
      </c>
      <c r="B12" s="63" t="n">
        <f aca="false">B10*(1-B11)</f>
        <v>0.0246375</v>
      </c>
    </row>
    <row r="13" customFormat="false" ht="15" hidden="false" customHeight="false" outlineLevel="0" collapsed="false">
      <c r="A13" s="8" t="s">
        <v>338</v>
      </c>
    </row>
    <row r="14" customFormat="false" ht="15" hidden="false" customHeight="false" outlineLevel="0" collapsed="false">
      <c r="A14" s="2" t="s">
        <v>339</v>
      </c>
      <c r="B14" s="71" t="n">
        <f aca="false">Data!$B$2</f>
        <v>388.1</v>
      </c>
      <c r="C14" s="21" t="s">
        <v>340</v>
      </c>
    </row>
    <row r="15" customFormat="false" ht="15" hidden="false" customHeight="false" outlineLevel="0" collapsed="false">
      <c r="A15" s="2" t="s">
        <v>32</v>
      </c>
      <c r="B15" s="72" t="n">
        <f aca="false">Data!$B$3</f>
        <v>494.958</v>
      </c>
    </row>
    <row r="16" customFormat="false" ht="15" hidden="false" customHeight="false" outlineLevel="0" collapsed="false">
      <c r="A16" s="2" t="s">
        <v>341</v>
      </c>
      <c r="B16" s="54" t="n">
        <f aca="false">B14*B15</f>
        <v>192093.1998</v>
      </c>
      <c r="C16" s="21" t="s">
        <v>254</v>
      </c>
    </row>
    <row r="17" customFormat="false" ht="15" hidden="false" customHeight="false" outlineLevel="0" collapsed="false">
      <c r="A17" s="2" t="s">
        <v>342</v>
      </c>
      <c r="B17" s="55" t="n">
        <f aca="false">Data!$B$12</f>
        <v>8245</v>
      </c>
      <c r="C17" s="21" t="s">
        <v>343</v>
      </c>
    </row>
    <row r="18" customFormat="false" ht="15" hidden="false" customHeight="false" outlineLevel="0" collapsed="false">
      <c r="A18" s="4" t="s">
        <v>344</v>
      </c>
      <c r="B18" s="73" t="n">
        <f aca="false">B16+B17</f>
        <v>200338.1998</v>
      </c>
    </row>
    <row r="19" customFormat="false" ht="15" hidden="false" customHeight="false" outlineLevel="0" collapsed="false">
      <c r="A19" s="2" t="s">
        <v>345</v>
      </c>
      <c r="B19" s="63" t="n">
        <f aca="false">B16/B18</f>
        <v>0.958844593750812</v>
      </c>
    </row>
    <row r="20" customFormat="false" ht="15" hidden="false" customHeight="false" outlineLevel="0" collapsed="false">
      <c r="A20" s="2" t="s">
        <v>346</v>
      </c>
      <c r="B20" s="63" t="n">
        <f aca="false">B17/B18</f>
        <v>0.041155406249188</v>
      </c>
    </row>
    <row r="21" customFormat="false" ht="15" hidden="false" customHeight="false" outlineLevel="0" collapsed="false">
      <c r="A21" s="13" t="s">
        <v>36</v>
      </c>
      <c r="B21" s="74" t="n">
        <f aca="false">B19*B8+B20*B12</f>
        <v>0.081116802528001</v>
      </c>
    </row>
    <row r="23" customFormat="false" ht="15" hidden="false" customHeight="false" outlineLevel="0" collapsed="false">
      <c r="A23" s="8" t="s">
        <v>347</v>
      </c>
    </row>
    <row r="24" customFormat="false" ht="15" hidden="false" customHeight="false" outlineLevel="0" collapsed="false">
      <c r="A24" s="2" t="s">
        <v>348</v>
      </c>
      <c r="B24" s="19" t="n">
        <f aca="false">Data!$B$20/100</f>
        <v>0.0493</v>
      </c>
    </row>
    <row r="25" customFormat="false" ht="15" hidden="false" customHeight="false" outlineLevel="0" collapsed="false">
      <c r="A25" s="2" t="s">
        <v>349</v>
      </c>
      <c r="B25" s="51" t="n">
        <f aca="false">B19*(B24+B7*B6)+B20*B12</f>
        <v>0.0960747781905136</v>
      </c>
      <c r="C25" s="21" t="s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6"/>
  </cols>
  <sheetData>
    <row r="1" customFormat="false" ht="16.15" hidden="false" customHeight="false" outlineLevel="0" collapsed="false">
      <c r="B1" s="43" t="s">
        <v>351</v>
      </c>
    </row>
    <row r="3" customFormat="false" ht="15" hidden="false" customHeight="false" outlineLevel="0" collapsed="false">
      <c r="A3" s="22" t="s">
        <v>254</v>
      </c>
      <c r="B3" s="23" t="s">
        <v>352</v>
      </c>
      <c r="C3" s="23" t="s">
        <v>353</v>
      </c>
    </row>
    <row r="4" customFormat="false" ht="15" hidden="false" customHeight="false" outlineLevel="0" collapsed="false">
      <c r="A4" s="13" t="s">
        <v>354</v>
      </c>
      <c r="B4" s="75" t="n">
        <f aca="false">DCF!B47</f>
        <v>247327.278411059</v>
      </c>
      <c r="C4" s="75" t="n">
        <f aca="false">DCF!B48</f>
        <v>268469.586615699</v>
      </c>
    </row>
    <row r="5" customFormat="false" ht="15" hidden="false" customHeight="false" outlineLevel="0" collapsed="false">
      <c r="A5" s="2" t="s">
        <v>355</v>
      </c>
      <c r="B5" s="55" t="n">
        <f aca="false">-DCF!C75</f>
        <v>-4771.546775</v>
      </c>
      <c r="C5" s="54" t="n">
        <f aca="false">B5</f>
        <v>-4771.546775</v>
      </c>
    </row>
    <row r="6" customFormat="false" ht="15" hidden="false" customHeight="false" outlineLevel="0" collapsed="false">
      <c r="A6" s="2" t="s">
        <v>356</v>
      </c>
      <c r="B6" s="55" t="n">
        <f aca="false">-Data!$B$13</f>
        <v>-6416</v>
      </c>
      <c r="C6" s="54" t="n">
        <f aca="false">B6</f>
        <v>-6416</v>
      </c>
    </row>
    <row r="7" customFormat="false" ht="15" hidden="false" customHeight="false" outlineLevel="0" collapsed="false">
      <c r="A7" s="2" t="s">
        <v>357</v>
      </c>
      <c r="B7" s="55" t="n">
        <f aca="false">-Data!$B$14</f>
        <v>-1599</v>
      </c>
      <c r="C7" s="54" t="n">
        <f aca="false">B7</f>
        <v>-1599</v>
      </c>
    </row>
    <row r="8" customFormat="false" ht="15" hidden="false" customHeight="false" outlineLevel="0" collapsed="false">
      <c r="A8" s="2" t="s">
        <v>358</v>
      </c>
      <c r="B8" s="55" t="n">
        <f aca="false">Data!$B$15</f>
        <v>1225</v>
      </c>
      <c r="C8" s="54" t="n">
        <f aca="false">B8</f>
        <v>1225</v>
      </c>
    </row>
    <row r="9" customFormat="false" ht="15" hidden="false" customHeight="false" outlineLevel="0" collapsed="false">
      <c r="A9" s="2" t="s">
        <v>359</v>
      </c>
      <c r="B9" s="55" t="n">
        <f aca="false">Data!$B$16</f>
        <v>1967</v>
      </c>
      <c r="C9" s="54" t="n">
        <f aca="false">B9</f>
        <v>1967</v>
      </c>
    </row>
    <row r="10" customFormat="false" ht="15" hidden="false" customHeight="false" outlineLevel="0" collapsed="false">
      <c r="A10" s="13" t="s">
        <v>360</v>
      </c>
      <c r="B10" s="56" t="n">
        <f aca="false">SUM(B4:B9)</f>
        <v>237732.731636059</v>
      </c>
      <c r="C10" s="56" t="n">
        <f aca="false">SUM(C4:C9)</f>
        <v>258875.039840699</v>
      </c>
    </row>
    <row r="11" customFormat="false" ht="15" hidden="false" customHeight="false" outlineLevel="0" collapsed="false">
      <c r="A11" s="2" t="s">
        <v>32</v>
      </c>
      <c r="B11" s="72" t="n">
        <f aca="false">WACC!B15</f>
        <v>494.958</v>
      </c>
      <c r="C11" s="76" t="n">
        <f aca="false">B11</f>
        <v>494.958</v>
      </c>
    </row>
    <row r="12" customFormat="false" ht="15" hidden="false" customHeight="false" outlineLevel="0" collapsed="false">
      <c r="A12" s="13" t="s">
        <v>361</v>
      </c>
      <c r="B12" s="77" t="n">
        <f aca="false">B10/B11</f>
        <v>480.308898201582</v>
      </c>
      <c r="C12" s="77" t="n">
        <f aca="false">C10/C11</f>
        <v>523.024256281744</v>
      </c>
    </row>
    <row r="13" customFormat="false" ht="15" hidden="false" customHeight="false" outlineLevel="0" collapsed="false">
      <c r="A13" s="2" t="s">
        <v>362</v>
      </c>
      <c r="B13" s="71" t="n">
        <f aca="false">WACC!B14</f>
        <v>388.1</v>
      </c>
      <c r="C13" s="78" t="n">
        <f aca="false">B13</f>
        <v>388.1</v>
      </c>
    </row>
    <row r="14" customFormat="false" ht="15" hidden="false" customHeight="false" outlineLevel="0" collapsed="false">
      <c r="A14" s="2" t="s">
        <v>363</v>
      </c>
      <c r="B14" s="63" t="n">
        <f aca="false">B12/B13-1</f>
        <v>0.237590564806963</v>
      </c>
      <c r="C14" s="63" t="n">
        <f aca="false">C12/C13-1</f>
        <v>0.347653327188209</v>
      </c>
    </row>
    <row r="16" customFormat="false" ht="15" hidden="false" customHeight="false" outlineLevel="0" collapsed="false">
      <c r="A16" s="11" t="s">
        <v>364</v>
      </c>
      <c r="B16" s="79" t="n">
        <f aca="false">Data!$B$17</f>
        <v>16261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2"/>
  </cols>
  <sheetData>
    <row r="1" customFormat="false" ht="16.15" hidden="false" customHeight="false" outlineLevel="0" collapsed="false">
      <c r="B1" s="43" t="s">
        <v>365</v>
      </c>
    </row>
    <row r="3" customFormat="false" ht="15" hidden="false" customHeight="false" outlineLevel="0" collapsed="false">
      <c r="A3" s="4" t="s">
        <v>366</v>
      </c>
      <c r="C3" s="4" t="s">
        <v>367</v>
      </c>
    </row>
    <row r="4" customFormat="false" ht="15" hidden="false" customHeight="false" outlineLevel="0" collapsed="false">
      <c r="B4" s="80" t="s">
        <v>368</v>
      </c>
      <c r="C4" s="7" t="n">
        <f aca="false">$E$4-0.01</f>
        <v>0.015</v>
      </c>
      <c r="D4" s="7" t="n">
        <f aca="false">$E$4-0.005</f>
        <v>0.02</v>
      </c>
      <c r="E4" s="81" t="n">
        <f aca="false">Assumptions!B30</f>
        <v>0.025</v>
      </c>
      <c r="F4" s="7" t="n">
        <f aca="false">$E$4+0.005</f>
        <v>0.03</v>
      </c>
      <c r="G4" s="7" t="n">
        <f aca="false">$E$4+0.01</f>
        <v>0.035</v>
      </c>
    </row>
    <row r="5" customFormat="false" ht="15" hidden="false" customHeight="false" outlineLevel="0" collapsed="false">
      <c r="B5" s="7" t="n">
        <f aca="false">$B$8-0.015</f>
        <v>0.066116802528001</v>
      </c>
      <c r="C5" s="82" t="n">
        <f aca="false">(SUMPRODUCT(DCF!$D$32:$H$32,(1+$B5)^(-DCF!$D$37:$H$37))+DCF!$H$32*(1+C$4)/($B5-C$4)*(1+$B5)^(-DCF!$H$37)+SUM(Bridge!$B$5:$B$9))/WACC!$B$15</f>
        <v>549.76905267433</v>
      </c>
      <c r="D5" s="82" t="n">
        <f aca="false">(SUMPRODUCT(DCF!$D$32:$H$32,(1+$B5)^(-DCF!$D$37:$H$37))+DCF!$H$32*(1+D$4)/($B5-D$4)*(1+$B5)^(-DCF!$H$37)+SUM(Bridge!$B$5:$B$9))/WACC!$B$15</f>
        <v>601.651756389451</v>
      </c>
      <c r="E5" s="82" t="n">
        <f aca="false">(SUMPRODUCT(DCF!$D$32:$H$32,(1+$B5)^(-DCF!$D$37:$H$37))+DCF!$H$32*(1+E$4)/($B5-E$4)*(1+$B5)^(-DCF!$H$37)+SUM(Bridge!$B$5:$B$9))/WACC!$B$15</f>
        <v>666.152830338927</v>
      </c>
      <c r="F5" s="82" t="n">
        <f aca="false">(SUMPRODUCT(DCF!$D$32:$H$32,(1+$B5)^(-DCF!$D$37:$H$37))+DCF!$H$32*(1+F$4)/($B5-F$4)*(1+$B5)^(-DCF!$H$37)+SUM(Bridge!$B$5:$B$9))/WACC!$B$15</f>
        <v>748.51292541838</v>
      </c>
      <c r="G5" s="82" t="n">
        <f aca="false">(SUMPRODUCT(DCF!$D$32:$H$32,(1+$B5)^(-DCF!$D$37:$H$37))+DCF!$H$32*(1+G$4)/($B5-G$4)*(1+$B5)^(-DCF!$H$37)+SUM(Bridge!$B$5:$B$9))/WACC!$B$15</f>
        <v>857.341066180014</v>
      </c>
    </row>
    <row r="6" customFormat="false" ht="15" hidden="false" customHeight="false" outlineLevel="0" collapsed="false">
      <c r="B6" s="7" t="n">
        <f aca="false">$B$8-0.01</f>
        <v>0.071116802528001</v>
      </c>
      <c r="C6" s="82" t="n">
        <f aca="false">(SUMPRODUCT(DCF!$D$32:$H$32,(1+$B6)^(-DCF!$D$37:$H$37))+DCF!$H$32*(1+C$4)/($B6-C$4)*(1+$B6)^(-DCF!$H$37)+SUM(Bridge!$B$5:$B$9))/WACC!$B$15</f>
        <v>497.986527795659</v>
      </c>
      <c r="D6" s="82" t="n">
        <f aca="false">(SUMPRODUCT(DCF!$D$32:$H$32,(1+$B6)^(-DCF!$D$37:$H$37))+DCF!$H$32*(1+D$4)/($B6-D$4)*(1+$B6)^(-DCF!$H$37)+SUM(Bridge!$B$5:$B$9))/WACC!$B$15</f>
        <v>539.833177610404</v>
      </c>
      <c r="E6" s="82" t="n">
        <f aca="false">(SUMPRODUCT(DCF!$D$32:$H$32,(1+$B6)^(-DCF!$D$37:$H$37))+DCF!$H$32*(1+E$4)/($B6-E$4)*(1+$B6)^(-DCF!$H$37)+SUM(Bridge!$B$5:$B$9))/WACC!$B$15</f>
        <v>590.753884497805</v>
      </c>
      <c r="F6" s="82" t="n">
        <f aca="false">(SUMPRODUCT(DCF!$D$32:$H$32,(1+$B6)^(-DCF!$D$37:$H$37))+DCF!$H$32*(1+F$4)/($B6-F$4)*(1+$B6)^(-DCF!$H$37)+SUM(Bridge!$B$5:$B$9))/WACC!$B$15</f>
        <v>654.058994781537</v>
      </c>
      <c r="G6" s="82" t="n">
        <f aca="false">(SUMPRODUCT(DCF!$D$32:$H$32,(1+$B6)^(-DCF!$D$37:$H$37))+DCF!$H$32*(1+G$4)/($B6-G$4)*(1+$B6)^(-DCF!$H$37)+SUM(Bridge!$B$5:$B$9))/WACC!$B$15</f>
        <v>734.891988447151</v>
      </c>
    </row>
    <row r="7" customFormat="false" ht="15" hidden="false" customHeight="false" outlineLevel="0" collapsed="false">
      <c r="B7" s="7" t="n">
        <f aca="false">$B$8-0.005</f>
        <v>0.076116802528001</v>
      </c>
      <c r="C7" s="82" t="n">
        <f aca="false">(SUMPRODUCT(DCF!$D$32:$H$32,(1+$B7)^(-DCF!$D$37:$H$37))+DCF!$H$32*(1+C$4)/($B7-C$4)*(1+$B7)^(-DCF!$H$37)+SUM(Bridge!$B$5:$B$9))/WACC!$B$15</f>
        <v>454.693728499869</v>
      </c>
      <c r="D7" s="82" t="n">
        <f aca="false">(SUMPRODUCT(DCF!$D$32:$H$32,(1+$B7)^(-DCF!$D$37:$H$37))+DCF!$H$32*(1+D$4)/($B7-D$4)*(1+$B7)^(-DCF!$H$37)+SUM(Bridge!$B$5:$B$9))/WACC!$B$15</f>
        <v>489.047421308958</v>
      </c>
      <c r="E7" s="82" t="n">
        <f aca="false">(SUMPRODUCT(DCF!$D$32:$H$32,(1+$B7)^(-DCF!$D$37:$H$37))+DCF!$H$32*(1+E$4)/($B7-E$4)*(1+$B7)^(-DCF!$H$37)+SUM(Bridge!$B$5:$B$9))/WACC!$B$15</f>
        <v>530.121740430749</v>
      </c>
      <c r="F7" s="82" t="n">
        <f aca="false">(SUMPRODUCT(DCF!$D$32:$H$32,(1+$B7)^(-DCF!$D$37:$H$37))+DCF!$H$32*(1+F$4)/($B7-F$4)*(1+$B7)^(-DCF!$H$37)+SUM(Bridge!$B$5:$B$9))/WACC!$B$15</f>
        <v>580.102643892782</v>
      </c>
      <c r="G7" s="82" t="n">
        <f aca="false">(SUMPRODUCT(DCF!$D$32:$H$32,(1+$B7)^(-DCF!$D$37:$H$37))+DCF!$H$32*(1+G$4)/($B7-G$4)*(1+$B7)^(-DCF!$H$37)+SUM(Bridge!$B$5:$B$9))/WACC!$B$15</f>
        <v>642.239381561037</v>
      </c>
    </row>
    <row r="8" customFormat="false" ht="15" hidden="false" customHeight="false" outlineLevel="0" collapsed="false">
      <c r="B8" s="81" t="n">
        <f aca="false">WACC!B21</f>
        <v>0.081116802528001</v>
      </c>
      <c r="C8" s="82" t="n">
        <f aca="false">(SUMPRODUCT(DCF!$D$32:$H$32,(1+$B8)^(-DCF!$D$37:$H$37))+DCF!$H$32*(1+C$4)/($B8-C$4)*(1+$B8)^(-DCF!$H$37)+SUM(Bridge!$B$5:$B$9))/WACC!$B$15</f>
        <v>417.964219993652</v>
      </c>
      <c r="D8" s="82" t="n">
        <f aca="false">(SUMPRODUCT(DCF!$D$32:$H$32,(1+$B8)^(-DCF!$D$37:$H$37))+DCF!$H$32*(1+D$4)/($B8-D$4)*(1+$B8)^(-DCF!$H$37)+SUM(Bridge!$B$5:$B$9))/WACC!$B$15</f>
        <v>446.586332497519</v>
      </c>
      <c r="E8" s="83" t="n">
        <f aca="false">(SUMPRODUCT(DCF!$D$32:$H$32,(1+$B8)^(-DCF!$D$37:$H$37))+DCF!$H$32*(1+E$4)/($B8-E$4)*(1+$B8)^(-DCF!$H$37)+SUM(Bridge!$B$5:$B$9))/WACC!$B$15</f>
        <v>480.308898201582</v>
      </c>
      <c r="F8" s="82" t="n">
        <f aca="false">(SUMPRODUCT(DCF!$D$32:$H$32,(1+$B8)^(-DCF!$D$37:$H$37))+DCF!$H$32*(1+F$4)/($B8-F$4)*(1+$B8)^(-DCF!$H$37)+SUM(Bridge!$B$5:$B$9))/WACC!$B$15</f>
        <v>520.628622576826</v>
      </c>
      <c r="G8" s="82" t="n">
        <f aca="false">(SUMPRODUCT(DCF!$D$32:$H$32,(1+$B8)^(-DCF!$D$37:$H$37))+DCF!$H$32*(1+G$4)/($B8-G$4)*(1+$B8)^(-DCF!$H$37)+SUM(Bridge!$B$5:$B$9))/WACC!$B$15</f>
        <v>569.691304435031</v>
      </c>
    </row>
    <row r="9" customFormat="false" ht="15" hidden="false" customHeight="false" outlineLevel="0" collapsed="false">
      <c r="B9" s="7" t="n">
        <f aca="false">$B$8+0.005</f>
        <v>0.086116802528001</v>
      </c>
      <c r="C9" s="82" t="n">
        <f aca="false">(SUMPRODUCT(DCF!$D$32:$H$32,(1+$B9)^(-DCF!$D$37:$H$37))+DCF!$H$32*(1+C$4)/($B9-C$4)*(1+$B9)^(-DCF!$H$37)+SUM(Bridge!$B$5:$B$9))/WACC!$B$15</f>
        <v>386.413343323925</v>
      </c>
      <c r="D9" s="82" t="n">
        <f aca="false">(SUMPRODUCT(DCF!$D$32:$H$32,(1+$B9)^(-DCF!$D$37:$H$37))+DCF!$H$32*(1+D$4)/($B9-D$4)*(1+$B9)^(-DCF!$H$37)+SUM(Bridge!$B$5:$B$9))/WACC!$B$15</f>
        <v>410.560968509697</v>
      </c>
      <c r="E9" s="82" t="n">
        <f aca="false">(SUMPRODUCT(DCF!$D$32:$H$32,(1+$B9)^(-DCF!$D$37:$H$37))+DCF!$H$32*(1+E$4)/($B9-E$4)*(1+$B9)^(-DCF!$H$37)+SUM(Bridge!$B$5:$B$9))/WACC!$B$15</f>
        <v>438.65965529996</v>
      </c>
      <c r="F9" s="82" t="n">
        <f aca="false">(SUMPRODUCT(DCF!$D$32:$H$32,(1+$B9)^(-DCF!$D$37:$H$37))+DCF!$H$32*(1+F$4)/($B9-F$4)*(1+$B9)^(-DCF!$H$37)+SUM(Bridge!$B$5:$B$9))/WACC!$B$15</f>
        <v>471.765520960802</v>
      </c>
      <c r="G9" s="82" t="n">
        <f aca="false">(SUMPRODUCT(DCF!$D$32:$H$32,(1+$B9)^(-DCF!$D$37:$H$37))+DCF!$H$32*(1+G$4)/($B9-G$4)*(1+$B9)^(-DCF!$H$37)+SUM(Bridge!$B$5:$B$9))/WACC!$B$15</f>
        <v>511.347900023026</v>
      </c>
    </row>
    <row r="10" customFormat="false" ht="15" hidden="false" customHeight="false" outlineLevel="0" collapsed="false">
      <c r="B10" s="7" t="n">
        <f aca="false">$B$8+0.01</f>
        <v>0.091116802528001</v>
      </c>
      <c r="C10" s="82" t="n">
        <f aca="false">(SUMPRODUCT(DCF!$D$32:$H$32,(1+$B10)^(-DCF!$D$37:$H$37))+DCF!$H$32*(1+C$4)/($B10-C$4)*(1+$B10)^(-DCF!$H$37)+SUM(Bridge!$B$5:$B$9))/WACC!$B$15</f>
        <v>359.020272825352</v>
      </c>
      <c r="D10" s="82" t="n">
        <f aca="false">(SUMPRODUCT(DCF!$D$32:$H$32,(1+$B10)^(-DCF!$D$37:$H$37))+DCF!$H$32*(1+D$4)/($B10-D$4)*(1+$B10)^(-DCF!$H$37)+SUM(Bridge!$B$5:$B$9))/WACC!$B$15</f>
        <v>379.613617439971</v>
      </c>
      <c r="E10" s="82" t="n">
        <f aca="false">(SUMPRODUCT(DCF!$D$32:$H$32,(1+$B10)^(-DCF!$D$37:$H$37))+DCF!$H$32*(1+E$4)/($B10-E$4)*(1+$B10)^(-DCF!$H$37)+SUM(Bridge!$B$5:$B$9))/WACC!$B$15</f>
        <v>403.321653604576</v>
      </c>
      <c r="F10" s="82" t="n">
        <f aca="false">(SUMPRODUCT(DCF!$D$32:$H$32,(1+$B10)^(-DCF!$D$37:$H$37))+DCF!$H$32*(1+F$4)/($B10-F$4)*(1+$B10)^(-DCF!$H$37)+SUM(Bridge!$B$5:$B$9))/WACC!$B$15</f>
        <v>430.908825323393</v>
      </c>
      <c r="G10" s="82" t="n">
        <f aca="false">(SUMPRODUCT(DCF!$D$32:$H$32,(1+$B10)^(-DCF!$D$37:$H$37))+DCF!$H$32*(1+G$4)/($B10-G$4)*(1+$B10)^(-DCF!$H$37)+SUM(Bridge!$B$5:$B$9))/WACC!$B$15</f>
        <v>463.412024056588</v>
      </c>
    </row>
    <row r="11" customFormat="false" ht="15" hidden="false" customHeight="false" outlineLevel="0" collapsed="false">
      <c r="B11" s="7" t="n">
        <f aca="false">$B$8+0.015</f>
        <v>0.096116802528001</v>
      </c>
      <c r="C11" s="82" t="n">
        <f aca="false">(SUMPRODUCT(DCF!$D$32:$H$32,(1+$B11)^(-DCF!$D$37:$H$37))+DCF!$H$32*(1+C$4)/($B11-C$4)*(1+$B11)^(-DCF!$H$37)+SUM(Bridge!$B$5:$B$9))/WACC!$B$15</f>
        <v>335.015883329149</v>
      </c>
      <c r="D11" s="82" t="n">
        <f aca="false">(SUMPRODUCT(DCF!$D$32:$H$32,(1+$B11)^(-DCF!$D$37:$H$37))+DCF!$H$32*(1+D$4)/($B11-D$4)*(1+$B11)^(-DCF!$H$37)+SUM(Bridge!$B$5:$B$9))/WACC!$B$15</f>
        <v>352.743319085657</v>
      </c>
      <c r="E11" s="82" t="n">
        <f aca="false">(SUMPRODUCT(DCF!$D$32:$H$32,(1+$B11)^(-DCF!$D$37:$H$37))+DCF!$H$32*(1+E$4)/($B11-E$4)*(1+$B11)^(-DCF!$H$37)+SUM(Bridge!$B$5:$B$9))/WACC!$B$15</f>
        <v>372.963475989115</v>
      </c>
      <c r="F11" s="82" t="n">
        <f aca="false">(SUMPRODUCT(DCF!$D$32:$H$32,(1+$B11)^(-DCF!$D$37:$H$37))+DCF!$H$32*(1+F$4)/($B11-F$4)*(1+$B11)^(-DCF!$H$37)+SUM(Bridge!$B$5:$B$9))/WACC!$B$15</f>
        <v>396.241880740373</v>
      </c>
      <c r="G11" s="82" t="n">
        <f aca="false">(SUMPRODUCT(DCF!$D$32:$H$32,(1+$B11)^(-DCF!$D$37:$H$37))+DCF!$H$32*(1+G$4)/($B11-G$4)*(1+$B11)^(-DCF!$H$37)+SUM(Bridge!$B$5:$B$9))/WACC!$B$15</f>
        <v>423.329124270556</v>
      </c>
    </row>
    <row r="13" customFormat="false" ht="15" hidden="false" customHeight="false" outlineLevel="0" collapsed="false">
      <c r="A13" s="4" t="s">
        <v>369</v>
      </c>
      <c r="C13" s="4" t="s">
        <v>370</v>
      </c>
    </row>
    <row r="14" customFormat="false" ht="15" hidden="false" customHeight="false" outlineLevel="0" collapsed="false">
      <c r="B14" s="80" t="s">
        <v>371</v>
      </c>
      <c r="C14" s="84" t="n">
        <f aca="false">$E$14-2</f>
        <v>9</v>
      </c>
      <c r="D14" s="84" t="n">
        <f aca="false">$E$14-1</f>
        <v>10</v>
      </c>
      <c r="E14" s="85" t="n">
        <f aca="false">Assumptions!B31</f>
        <v>11</v>
      </c>
      <c r="F14" s="84" t="n">
        <f aca="false">$E$14+1</f>
        <v>12</v>
      </c>
      <c r="G14" s="84" t="n">
        <f aca="false">$E$14+2</f>
        <v>13</v>
      </c>
    </row>
    <row r="15" customFormat="false" ht="15" hidden="false" customHeight="false" outlineLevel="0" collapsed="false">
      <c r="B15" s="7" t="n">
        <f aca="false">$B$18-0.015</f>
        <v>0.066116802528001</v>
      </c>
      <c r="C15" s="82" t="n">
        <f aca="false">(SUMPRODUCT(DCF!$D$32:$H$32,(1+$B15)^(-DCF!$D$37:$H$37))+DCF!$H$34*C$14*(1+$B15)^(-DCF!$H$37)+SUM(Bridge!$B$5:$B$9))/WACC!$B$15</f>
        <v>474.545299470199</v>
      </c>
      <c r="D15" s="82" t="n">
        <f aca="false">(SUMPRODUCT(DCF!$D$32:$H$32,(1+$B15)^(-DCF!$D$37:$H$37))+DCF!$H$34*D$14*(1+$B15)^(-DCF!$H$37)+SUM(Bridge!$B$5:$B$9))/WACC!$B$15</f>
        <v>516.80808232785</v>
      </c>
      <c r="E15" s="82" t="n">
        <f aca="false">(SUMPRODUCT(DCF!$D$32:$H$32,(1+$B15)^(-DCF!$D$37:$H$37))+DCF!$H$34*E$14*(1+$B15)^(-DCF!$H$37)+SUM(Bridge!$B$5:$B$9))/WACC!$B$15</f>
        <v>559.070865185501</v>
      </c>
      <c r="F15" s="82" t="n">
        <f aca="false">(SUMPRODUCT(DCF!$D$32:$H$32,(1+$B15)^(-DCF!$D$37:$H$37))+DCF!$H$34*F$14*(1+$B15)^(-DCF!$H$37)+SUM(Bridge!$B$5:$B$9))/WACC!$B$15</f>
        <v>601.333648043152</v>
      </c>
      <c r="G15" s="82" t="n">
        <f aca="false">(SUMPRODUCT(DCF!$D$32:$H$32,(1+$B15)^(-DCF!$D$37:$H$37))+DCF!$H$34*G$14*(1+$B15)^(-DCF!$H$37)+SUM(Bridge!$B$5:$B$9))/WACC!$B$15</f>
        <v>643.596430900803</v>
      </c>
    </row>
    <row r="16" customFormat="false" ht="15" hidden="false" customHeight="false" outlineLevel="0" collapsed="false">
      <c r="B16" s="7" t="n">
        <f aca="false">$B$18-0.01</f>
        <v>0.071116802528001</v>
      </c>
      <c r="C16" s="82" t="n">
        <f aca="false">(SUMPRODUCT(DCF!$D$32:$H$32,(1+$B16)^(-DCF!$D$37:$H$37))+DCF!$H$34*C$14*(1+$B16)^(-DCF!$H$37)+SUM(Bridge!$B$5:$B$9))/WACC!$B$15</f>
        <v>464.156456154854</v>
      </c>
      <c r="D16" s="82" t="n">
        <f aca="false">(SUMPRODUCT(DCF!$D$32:$H$32,(1+$B16)^(-DCF!$D$37:$H$37))+DCF!$H$34*D$14*(1+$B16)^(-DCF!$H$37)+SUM(Bridge!$B$5:$B$9))/WACC!$B$15</f>
        <v>505.441986745018</v>
      </c>
      <c r="E16" s="82" t="n">
        <f aca="false">(SUMPRODUCT(DCF!$D$32:$H$32,(1+$B16)^(-DCF!$D$37:$H$37))+DCF!$H$34*E$14*(1+$B16)^(-DCF!$H$37)+SUM(Bridge!$B$5:$B$9))/WACC!$B$15</f>
        <v>546.727517335182</v>
      </c>
      <c r="F16" s="82" t="n">
        <f aca="false">(SUMPRODUCT(DCF!$D$32:$H$32,(1+$B16)^(-DCF!$D$37:$H$37))+DCF!$H$34*F$14*(1+$B16)^(-DCF!$H$37)+SUM(Bridge!$B$5:$B$9))/WACC!$B$15</f>
        <v>588.013047925347</v>
      </c>
      <c r="G16" s="82" t="n">
        <f aca="false">(SUMPRODUCT(DCF!$D$32:$H$32,(1+$B16)^(-DCF!$D$37:$H$37))+DCF!$H$34*G$14*(1+$B16)^(-DCF!$H$37)+SUM(Bridge!$B$5:$B$9))/WACC!$B$15</f>
        <v>629.298578515511</v>
      </c>
    </row>
    <row r="17" customFormat="false" ht="15" hidden="false" customHeight="false" outlineLevel="0" collapsed="false">
      <c r="B17" s="7" t="n">
        <f aca="false">$B$18-0.005</f>
        <v>0.076116802528001</v>
      </c>
      <c r="C17" s="82" t="n">
        <f aca="false">(SUMPRODUCT(DCF!$D$32:$H$32,(1+$B17)^(-DCF!$D$37:$H$37))+DCF!$H$34*C$14*(1+$B17)^(-DCF!$H$37)+SUM(Bridge!$B$5:$B$9))/WACC!$B$15</f>
        <v>454.04493146319</v>
      </c>
      <c r="D17" s="82" t="n">
        <f aca="false">(SUMPRODUCT(DCF!$D$32:$H$32,(1+$B17)^(-DCF!$D$37:$H$37))+DCF!$H$34*D$14*(1+$B17)^(-DCF!$H$37)+SUM(Bridge!$B$5:$B$9))/WACC!$B$15</f>
        <v>494.380201448254</v>
      </c>
      <c r="E17" s="82" t="n">
        <f aca="false">(SUMPRODUCT(DCF!$D$32:$H$32,(1+$B17)^(-DCF!$D$37:$H$37))+DCF!$H$34*E$14*(1+$B17)^(-DCF!$H$37)+SUM(Bridge!$B$5:$B$9))/WACC!$B$15</f>
        <v>534.715471433318</v>
      </c>
      <c r="F17" s="82" t="n">
        <f aca="false">(SUMPRODUCT(DCF!$D$32:$H$32,(1+$B17)^(-DCF!$D$37:$H$37))+DCF!$H$34*F$14*(1+$B17)^(-DCF!$H$37)+SUM(Bridge!$B$5:$B$9))/WACC!$B$15</f>
        <v>575.050741418383</v>
      </c>
      <c r="G17" s="82" t="n">
        <f aca="false">(SUMPRODUCT(DCF!$D$32:$H$32,(1+$B17)^(-DCF!$D$37:$H$37))+DCF!$H$34*G$14*(1+$B17)^(-DCF!$H$37)+SUM(Bridge!$B$5:$B$9))/WACC!$B$15</f>
        <v>615.386011403447</v>
      </c>
    </row>
    <row r="18" customFormat="false" ht="15" hidden="false" customHeight="false" outlineLevel="0" collapsed="false">
      <c r="B18" s="81" t="n">
        <f aca="false">WACC!B21</f>
        <v>0.081116802528001</v>
      </c>
      <c r="C18" s="82" t="n">
        <f aca="false">(SUMPRODUCT(DCF!$D$32:$H$32,(1+$B18)^(-DCF!$D$37:$H$37))+DCF!$H$34*C$14*(1+$B18)^(-DCF!$H$37)+SUM(Bridge!$B$5:$B$9))/WACC!$B$15</f>
        <v>444.201985733794</v>
      </c>
      <c r="D18" s="82" t="n">
        <f aca="false">(SUMPRODUCT(DCF!$D$32:$H$32,(1+$B18)^(-DCF!$D$37:$H$37))+DCF!$H$34*D$14*(1+$B18)^(-DCF!$H$37)+SUM(Bridge!$B$5:$B$9))/WACC!$B$15</f>
        <v>483.613121007769</v>
      </c>
      <c r="E18" s="83" t="n">
        <f aca="false">(SUMPRODUCT(DCF!$D$32:$H$32,(1+$B18)^(-DCF!$D$37:$H$37))+DCF!$H$34*E$14*(1+$B18)^(-DCF!$H$37)+SUM(Bridge!$B$5:$B$9))/WACC!$B$15</f>
        <v>523.024256281744</v>
      </c>
      <c r="F18" s="82" t="n">
        <f aca="false">(SUMPRODUCT(DCF!$D$32:$H$32,(1+$B18)^(-DCF!$D$37:$H$37))+DCF!$H$34*F$14*(1+$B18)^(-DCF!$H$37)+SUM(Bridge!$B$5:$B$9))/WACC!$B$15</f>
        <v>562.435391555719</v>
      </c>
      <c r="G18" s="82" t="n">
        <f aca="false">(SUMPRODUCT(DCF!$D$32:$H$32,(1+$B18)^(-DCF!$D$37:$H$37))+DCF!$H$34*G$14*(1+$B18)^(-DCF!$H$37)+SUM(Bridge!$B$5:$B$9))/WACC!$B$15</f>
        <v>601.846526829693</v>
      </c>
    </row>
    <row r="19" customFormat="false" ht="15" hidden="false" customHeight="false" outlineLevel="0" collapsed="false">
      <c r="B19" s="7" t="n">
        <f aca="false">$B$18+0.005</f>
        <v>0.086116802528001</v>
      </c>
      <c r="C19" s="82" t="n">
        <f aca="false">(SUMPRODUCT(DCF!$D$32:$H$32,(1+$B19)^(-DCF!$D$37:$H$37))+DCF!$H$34*C$14*(1+$B19)^(-DCF!$H$37)+SUM(Bridge!$B$5:$B$9))/WACC!$B$15</f>
        <v>434.619194796403</v>
      </c>
      <c r="D19" s="82" t="n">
        <f aca="false">(SUMPRODUCT(DCF!$D$32:$H$32,(1+$B19)^(-DCF!$D$37:$H$37))+DCF!$H$34*D$14*(1+$B19)^(-DCF!$H$37)+SUM(Bridge!$B$5:$B$9))/WACC!$B$15</f>
        <v>473.131487076933</v>
      </c>
      <c r="E19" s="82" t="n">
        <f aca="false">(SUMPRODUCT(DCF!$D$32:$H$32,(1+$B19)^(-DCF!$D$37:$H$37))+DCF!$H$34*E$14*(1+$B19)^(-DCF!$H$37)+SUM(Bridge!$B$5:$B$9))/WACC!$B$15</f>
        <v>511.643779357463</v>
      </c>
      <c r="F19" s="82" t="n">
        <f aca="false">(SUMPRODUCT(DCF!$D$32:$H$32,(1+$B19)^(-DCF!$D$37:$H$37))+DCF!$H$34*F$14*(1+$B19)^(-DCF!$H$37)+SUM(Bridge!$B$5:$B$9))/WACC!$B$15</f>
        <v>550.156071637993</v>
      </c>
      <c r="G19" s="82" t="n">
        <f aca="false">(SUMPRODUCT(DCF!$D$32:$H$32,(1+$B19)^(-DCF!$D$37:$H$37))+DCF!$H$34*G$14*(1+$B19)^(-DCF!$H$37)+SUM(Bridge!$B$5:$B$9))/WACC!$B$15</f>
        <v>588.668363918523</v>
      </c>
    </row>
    <row r="20" customFormat="false" ht="15" hidden="false" customHeight="false" outlineLevel="0" collapsed="false">
      <c r="B20" s="7" t="n">
        <f aca="false">$B$18+0.01</f>
        <v>0.091116802528001</v>
      </c>
      <c r="C20" s="82" t="n">
        <f aca="false">(SUMPRODUCT(DCF!$D$32:$H$32,(1+$B20)^(-DCF!$D$37:$H$37))+DCF!$H$34*C$14*(1+$B20)^(-DCF!$H$37)+SUM(Bridge!$B$5:$B$9))/WACC!$B$15</f>
        <v>425.288437172957</v>
      </c>
      <c r="D20" s="82" t="n">
        <f aca="false">(SUMPRODUCT(DCF!$D$32:$H$32,(1+$B20)^(-DCF!$D$37:$H$37))+DCF!$H$34*D$14*(1+$B20)^(-DCF!$H$37)+SUM(Bridge!$B$5:$B$9))/WACC!$B$15</f>
        <v>462.926374302332</v>
      </c>
      <c r="E20" s="82" t="n">
        <f aca="false">(SUMPRODUCT(DCF!$D$32:$H$32,(1+$B20)^(-DCF!$D$37:$H$37))+DCF!$H$34*E$14*(1+$B20)^(-DCF!$H$37)+SUM(Bridge!$B$5:$B$9))/WACC!$B$15</f>
        <v>500.564311431706</v>
      </c>
      <c r="F20" s="82" t="n">
        <f aca="false">(SUMPRODUCT(DCF!$D$32:$H$32,(1+$B20)^(-DCF!$D$37:$H$37))+DCF!$H$34*F$14*(1+$B20)^(-DCF!$H$37)+SUM(Bridge!$B$5:$B$9))/WACC!$B$15</f>
        <v>538.202248561081</v>
      </c>
      <c r="G20" s="82" t="n">
        <f aca="false">(SUMPRODUCT(DCF!$D$32:$H$32,(1+$B20)^(-DCF!$D$37:$H$37))+DCF!$H$34*G$14*(1+$B20)^(-DCF!$H$37)+SUM(Bridge!$B$5:$B$9))/WACC!$B$15</f>
        <v>575.840185690455</v>
      </c>
    </row>
    <row r="21" customFormat="false" ht="15" hidden="false" customHeight="false" outlineLevel="0" collapsed="false">
      <c r="B21" s="7" t="n">
        <f aca="false">$B$18+0.015</f>
        <v>0.096116802528001</v>
      </c>
      <c r="C21" s="82" t="n">
        <f aca="false">(SUMPRODUCT(DCF!$D$32:$H$32,(1+$B21)^(-DCF!$D$37:$H$37))+DCF!$H$34*C$14*(1+$B21)^(-DCF!$H$37)+SUM(Bridge!$B$5:$B$9))/WACC!$B$15</f>
        <v>416.201881854132</v>
      </c>
      <c r="D21" s="82" t="n">
        <f aca="false">(SUMPRODUCT(DCF!$D$32:$H$32,(1+$B21)^(-DCF!$D$37:$H$37))+DCF!$H$34*D$14*(1+$B21)^(-DCF!$H$37)+SUM(Bridge!$B$5:$B$9))/WACC!$B$15</f>
        <v>452.989176867651</v>
      </c>
      <c r="E21" s="82" t="n">
        <f aca="false">(SUMPRODUCT(DCF!$D$32:$H$32,(1+$B21)^(-DCF!$D$37:$H$37))+DCF!$H$34*E$14*(1+$B21)^(-DCF!$H$37)+SUM(Bridge!$B$5:$B$9))/WACC!$B$15</f>
        <v>489.77647188117</v>
      </c>
      <c r="F21" s="82" t="n">
        <f aca="false">(SUMPRODUCT(DCF!$D$32:$H$32,(1+$B21)^(-DCF!$D$37:$H$37))+DCF!$H$34*F$14*(1+$B21)^(-DCF!$H$37)+SUM(Bridge!$B$5:$B$9))/WACC!$B$15</f>
        <v>526.563766894689</v>
      </c>
      <c r="G21" s="82" t="n">
        <f aca="false">(SUMPRODUCT(DCF!$D$32:$H$32,(1+$B21)^(-DCF!$D$37:$H$37))+DCF!$H$34*G$14*(1+$B21)^(-DCF!$H$37)+SUM(Bridge!$B$5:$B$9))/WACC!$B$15</f>
        <v>563.351061908207</v>
      </c>
    </row>
    <row r="23" customFormat="false" ht="15" hidden="false" customHeight="false" outlineLevel="0" collapsed="false">
      <c r="A23" s="21" t="s">
        <v>372</v>
      </c>
      <c r="E23" s="86" t="n">
        <f aca="false">E8-Bridge!B12</f>
        <v>0</v>
      </c>
      <c r="F23" s="86" t="n">
        <f aca="false">E18-Bridge!C12</f>
        <v>0</v>
      </c>
    </row>
  </sheetData>
  <conditionalFormatting sqref="C5:G11">
    <cfRule type="colorScale" priority="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C15:G21">
    <cfRule type="colorScale" priority="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4" min="4" style="0" width="6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10" min="7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5" min="13" style="0" width="9"/>
    <col collapsed="false" customWidth="true" hidden="false" outlineLevel="0" max="16" min="16" style="0" width="90"/>
  </cols>
  <sheetData>
    <row r="1" customFormat="false" ht="16.15" hidden="false" customHeight="false" outlineLevel="0" collapsed="false">
      <c r="B1" s="43" t="s">
        <v>373</v>
      </c>
    </row>
    <row r="3" customFormat="false" ht="42" hidden="false" customHeight="true" outlineLevel="0" collapsed="false">
      <c r="A3" s="22" t="s">
        <v>1</v>
      </c>
      <c r="B3" s="23" t="s">
        <v>374</v>
      </c>
      <c r="C3" s="23" t="s">
        <v>375</v>
      </c>
      <c r="D3" s="23" t="s">
        <v>376</v>
      </c>
      <c r="E3" s="23" t="s">
        <v>377</v>
      </c>
      <c r="F3" s="23" t="s">
        <v>378</v>
      </c>
      <c r="G3" s="23" t="s">
        <v>29</v>
      </c>
      <c r="H3" s="23" t="s">
        <v>379</v>
      </c>
      <c r="I3" s="23" t="s">
        <v>380</v>
      </c>
      <c r="J3" s="23" t="s">
        <v>381</v>
      </c>
      <c r="K3" s="23" t="s">
        <v>382</v>
      </c>
      <c r="L3" s="23" t="s">
        <v>383</v>
      </c>
      <c r="M3" s="23" t="s">
        <v>384</v>
      </c>
      <c r="N3" s="23" t="s">
        <v>385</v>
      </c>
      <c r="O3" s="23" t="s">
        <v>386</v>
      </c>
      <c r="P3" s="23" t="s">
        <v>387</v>
      </c>
    </row>
    <row r="4" customFormat="false" ht="15" hidden="false" customHeight="false" outlineLevel="0" collapsed="false">
      <c r="A4" s="2" t="s">
        <v>388</v>
      </c>
      <c r="B4" s="87" t="s">
        <v>389</v>
      </c>
      <c r="C4" s="24" t="n">
        <v>1276.5</v>
      </c>
      <c r="D4" s="26" t="s">
        <v>51</v>
      </c>
      <c r="E4" s="40" t="n">
        <v>1</v>
      </c>
      <c r="F4" s="88" t="n">
        <v>104.742</v>
      </c>
      <c r="G4" s="49" t="n">
        <f aca="false">C4*E4*F4</f>
        <v>133703.163</v>
      </c>
      <c r="H4" s="35" t="n">
        <v>-12773</v>
      </c>
      <c r="I4" s="49" t="n">
        <f aca="false">G4+H4</f>
        <v>120930.163</v>
      </c>
      <c r="J4" s="35" t="n">
        <v>16766</v>
      </c>
      <c r="K4" s="35" t="n">
        <v>6721</v>
      </c>
      <c r="L4" s="35" t="n">
        <v>4632</v>
      </c>
      <c r="M4" s="52" t="n">
        <f aca="false">IFERROR(I4/K4,0)</f>
        <v>17.9928824579676</v>
      </c>
      <c r="N4" s="52" t="n">
        <f aca="false">IFERROR(I4/J4,0)</f>
        <v>7.21282136466659</v>
      </c>
      <c r="O4" s="52" t="n">
        <f aca="false">IFERROR(G4/L4,0)</f>
        <v>28.8651042746114</v>
      </c>
      <c r="P4" s="21" t="s">
        <v>390</v>
      </c>
    </row>
    <row r="5" customFormat="false" ht="15" hidden="false" customHeight="false" outlineLevel="0" collapsed="false">
      <c r="A5" s="2" t="s">
        <v>391</v>
      </c>
      <c r="B5" s="87" t="s">
        <v>392</v>
      </c>
      <c r="C5" s="24" t="n">
        <v>164.28</v>
      </c>
      <c r="D5" s="26" t="s">
        <v>114</v>
      </c>
      <c r="E5" s="89" t="n">
        <f aca="false">1/Data!$B$29</f>
        <v>1.06428267347808</v>
      </c>
      <c r="F5" s="88" t="n">
        <v>589.8</v>
      </c>
      <c r="G5" s="49" t="n">
        <f aca="false">C5*E5*F5</f>
        <v>103120.842911877</v>
      </c>
      <c r="H5" s="35" t="n">
        <v>-8496</v>
      </c>
      <c r="I5" s="49" t="n">
        <f aca="false">G5+H5</f>
        <v>94624.8429118774</v>
      </c>
      <c r="J5" s="35" t="n">
        <v>25176</v>
      </c>
      <c r="K5" s="35" t="n">
        <v>5536</v>
      </c>
      <c r="L5" s="35" t="n">
        <v>4430</v>
      </c>
      <c r="M5" s="52" t="n">
        <f aca="false">IFERROR(I5/K5,0)</f>
        <v>17.0926378092264</v>
      </c>
      <c r="N5" s="52" t="n">
        <f aca="false">IFERROR(I5/J5,0)</f>
        <v>3.75853363965195</v>
      </c>
      <c r="O5" s="52" t="n">
        <f aca="false">IFERROR(G5/L5,0)</f>
        <v>23.2778426437646</v>
      </c>
      <c r="P5" s="21" t="s">
        <v>393</v>
      </c>
    </row>
    <row r="6" customFormat="false" ht="15" hidden="false" customHeight="false" outlineLevel="0" collapsed="false">
      <c r="A6" s="2" t="s">
        <v>394</v>
      </c>
      <c r="B6" s="87" t="s">
        <v>389</v>
      </c>
      <c r="C6" s="24" t="n">
        <v>179.66</v>
      </c>
      <c r="D6" s="26" t="s">
        <v>51</v>
      </c>
      <c r="E6" s="40" t="n">
        <v>1</v>
      </c>
      <c r="F6" s="88" t="n">
        <v>122.6</v>
      </c>
      <c r="G6" s="49" t="n">
        <f aca="false">C6*E6*F6</f>
        <v>22026.316</v>
      </c>
      <c r="H6" s="35" t="n">
        <v>8759</v>
      </c>
      <c r="I6" s="49" t="n">
        <f aca="false">G6+H6</f>
        <v>30785.316</v>
      </c>
      <c r="J6" s="35" t="n">
        <v>14781</v>
      </c>
      <c r="K6" s="35" t="n">
        <v>1871</v>
      </c>
      <c r="L6" s="35" t="n">
        <v>646</v>
      </c>
      <c r="M6" s="52" t="n">
        <f aca="false">IFERROR(I6/K6,0)</f>
        <v>16.4539369321219</v>
      </c>
      <c r="N6" s="52" t="n">
        <f aca="false">IFERROR(I6/J6,0)</f>
        <v>2.08276273594479</v>
      </c>
      <c r="O6" s="52" t="n">
        <f aca="false">IFERROR(G6/L6,0)</f>
        <v>34.0964643962848</v>
      </c>
      <c r="P6" s="21" t="s">
        <v>395</v>
      </c>
    </row>
    <row r="7" customFormat="false" ht="15" hidden="false" customHeight="false" outlineLevel="0" collapsed="false">
      <c r="A7" s="2" t="s">
        <v>396</v>
      </c>
      <c r="B7" s="87" t="s">
        <v>389</v>
      </c>
      <c r="C7" s="24" t="n">
        <v>40.88</v>
      </c>
      <c r="D7" s="26" t="s">
        <v>117</v>
      </c>
      <c r="E7" s="89" t="n">
        <f aca="false">1/(Data!$B$28*Data!$B$30)</f>
        <v>0.114305570796298</v>
      </c>
      <c r="F7" s="88" t="n">
        <v>2559.6</v>
      </c>
      <c r="G7" s="49" t="n">
        <f aca="false">C7*E7*F7</f>
        <v>11960.5289147372</v>
      </c>
      <c r="H7" s="35" t="n">
        <v>693</v>
      </c>
      <c r="I7" s="49" t="n">
        <f aca="false">G7+H7</f>
        <v>12653.5289147372</v>
      </c>
      <c r="J7" s="35" t="n">
        <v>6468</v>
      </c>
      <c r="K7" s="35" t="n">
        <v>1227</v>
      </c>
      <c r="L7" s="35" t="n">
        <v>783</v>
      </c>
      <c r="M7" s="52" t="n">
        <f aca="false">IFERROR(I7/K7,0)</f>
        <v>10.3125745026383</v>
      </c>
      <c r="N7" s="52" t="n">
        <f aca="false">IFERROR(I7/J7,0)</f>
        <v>1.95632790889567</v>
      </c>
      <c r="O7" s="52" t="n">
        <f aca="false">IFERROR(G7/L7,0)</f>
        <v>15.275260427506</v>
      </c>
      <c r="P7" s="21" t="s">
        <v>397</v>
      </c>
    </row>
    <row r="8" customFormat="false" ht="15" hidden="false" customHeight="false" outlineLevel="0" collapsed="false">
      <c r="A8" s="2" t="s">
        <v>398</v>
      </c>
      <c r="B8" s="87" t="s">
        <v>389</v>
      </c>
      <c r="C8" s="24" t="n">
        <v>42.32</v>
      </c>
      <c r="D8" s="26" t="s">
        <v>51</v>
      </c>
      <c r="E8" s="40" t="n">
        <v>1</v>
      </c>
      <c r="F8" s="88" t="n">
        <v>272</v>
      </c>
      <c r="G8" s="49" t="n">
        <f aca="false">C8*E8*F8</f>
        <v>11511.04</v>
      </c>
      <c r="H8" s="35" t="n">
        <v>-1112</v>
      </c>
      <c r="I8" s="49" t="n">
        <f aca="false">G8+H8</f>
        <v>10399.04</v>
      </c>
      <c r="J8" s="35" t="n">
        <v>3283</v>
      </c>
      <c r="K8" s="35" t="n">
        <v>967</v>
      </c>
      <c r="L8" s="35" t="n">
        <v>652</v>
      </c>
      <c r="M8" s="52" t="n">
        <f aca="false">IFERROR(I8/K8,0)</f>
        <v>10.7539193381593</v>
      </c>
      <c r="N8" s="52" t="n">
        <f aca="false">IFERROR(I8/J8,0)</f>
        <v>3.16754188242461</v>
      </c>
      <c r="O8" s="52" t="n">
        <f aca="false">IFERROR(G8/L8,0)</f>
        <v>17.6549693251534</v>
      </c>
      <c r="P8" s="21" t="s">
        <v>399</v>
      </c>
    </row>
    <row r="9" customFormat="false" ht="15" hidden="false" customHeight="false" outlineLevel="0" collapsed="false">
      <c r="A9" s="2" t="s">
        <v>400</v>
      </c>
      <c r="B9" s="87" t="s">
        <v>401</v>
      </c>
      <c r="C9" s="24" t="n">
        <v>67.36</v>
      </c>
      <c r="D9" s="26" t="s">
        <v>51</v>
      </c>
      <c r="E9" s="40" t="n">
        <v>1</v>
      </c>
      <c r="F9" s="88" t="n">
        <v>251.59</v>
      </c>
      <c r="G9" s="49" t="n">
        <f aca="false">C9*E9*F9</f>
        <v>16947.1024</v>
      </c>
      <c r="H9" s="35" t="n">
        <v>10662</v>
      </c>
      <c r="I9" s="49" t="n">
        <f aca="false">G9+H9</f>
        <v>27609.1024</v>
      </c>
      <c r="J9" s="35" t="n">
        <v>9404</v>
      </c>
      <c r="K9" s="35" t="n">
        <v>2423</v>
      </c>
      <c r="L9" s="35" t="n">
        <v>1476</v>
      </c>
      <c r="M9" s="52" t="n">
        <f aca="false">IFERROR(I9/K9,0)</f>
        <v>11.3945944696657</v>
      </c>
      <c r="N9" s="52" t="n">
        <f aca="false">IFERROR(I9/J9,0)</f>
        <v>2.93588923862186</v>
      </c>
      <c r="O9" s="52" t="n">
        <f aca="false">IFERROR(G9/L9,0)</f>
        <v>11.4817766937669</v>
      </c>
      <c r="P9" s="21" t="s">
        <v>402</v>
      </c>
    </row>
    <row r="10" customFormat="false" ht="15" hidden="false" customHeight="false" outlineLevel="0" collapsed="false">
      <c r="A10" s="2" t="s">
        <v>403</v>
      </c>
      <c r="B10" s="87" t="s">
        <v>401</v>
      </c>
      <c r="C10" s="24" t="n">
        <v>92.09</v>
      </c>
      <c r="D10" s="26" t="s">
        <v>111</v>
      </c>
      <c r="E10" s="89" t="n">
        <f aca="false">1/Data!$B$28</f>
        <v>0.891583452211127</v>
      </c>
      <c r="F10" s="88" t="n">
        <v>555.6</v>
      </c>
      <c r="G10" s="49" t="n">
        <f aca="false">C10*E10*F10</f>
        <v>45618.0492154066</v>
      </c>
      <c r="H10" s="16" t="n">
        <f aca="false">B49*1/Data!$B$28</f>
        <v>18277.4607703281</v>
      </c>
      <c r="I10" s="49" t="n">
        <f aca="false">G10+H10</f>
        <v>63895.5099857347</v>
      </c>
      <c r="J10" s="16" t="n">
        <f aca="false">C49*1/Data!$B$28</f>
        <v>17513.3737517832</v>
      </c>
      <c r="K10" s="16" t="n">
        <f aca="false">D49*1/Data!$B$28</f>
        <v>5061.51925820257</v>
      </c>
      <c r="L10" s="16" t="n">
        <f aca="false">E49*1/Data!$B$28</f>
        <v>3277.4607703281</v>
      </c>
      <c r="M10" s="52" t="n">
        <f aca="false">IFERROR(I10/K10,0)</f>
        <v>12.6237808701779</v>
      </c>
      <c r="N10" s="52" t="n">
        <f aca="false">IFERROR(I10/J10,0)</f>
        <v>3.64838385175381</v>
      </c>
      <c r="O10" s="52" t="n">
        <f aca="false">IFERROR(G10/L10,0)</f>
        <v>13.9187170837867</v>
      </c>
      <c r="P10" s="21" t="s">
        <v>404</v>
      </c>
    </row>
    <row r="11" customFormat="false" ht="15" hidden="false" customHeight="false" outlineLevel="0" collapsed="false">
      <c r="A11" s="2" t="s">
        <v>405</v>
      </c>
      <c r="B11" s="87" t="s">
        <v>406</v>
      </c>
      <c r="C11" s="24" t="n">
        <v>388.6</v>
      </c>
      <c r="D11" s="26" t="s">
        <v>51</v>
      </c>
      <c r="E11" s="40" t="n">
        <v>1</v>
      </c>
      <c r="F11" s="88" t="n">
        <v>533.8</v>
      </c>
      <c r="G11" s="49" t="n">
        <f aca="false">C11*E11*F11</f>
        <v>207434.68</v>
      </c>
      <c r="H11" s="35" t="n">
        <v>8149</v>
      </c>
      <c r="I11" s="49" t="n">
        <f aca="false">G11+H11</f>
        <v>215583.68</v>
      </c>
      <c r="J11" s="35" t="n">
        <v>46965</v>
      </c>
      <c r="K11" s="35" t="n">
        <v>9600</v>
      </c>
      <c r="L11" s="35" t="n">
        <v>7019</v>
      </c>
      <c r="M11" s="52" t="n">
        <f aca="false">IFERROR(I11/K11,0)</f>
        <v>22.4566333333333</v>
      </c>
      <c r="N11" s="52" t="n">
        <f aca="false">IFERROR(I11/J11,0)</f>
        <v>4.59030512083466</v>
      </c>
      <c r="O11" s="52" t="n">
        <f aca="false">IFERROR(G11/L11,0)</f>
        <v>29.5533095882604</v>
      </c>
      <c r="P11" s="21" t="s">
        <v>407</v>
      </c>
    </row>
    <row r="12" customFormat="false" ht="15" hidden="false" customHeight="false" outlineLevel="0" collapsed="false">
      <c r="A12" s="2" t="s">
        <v>408</v>
      </c>
      <c r="B12" s="87" t="s">
        <v>409</v>
      </c>
      <c r="C12" s="24" t="n">
        <v>545.26</v>
      </c>
      <c r="D12" s="26" t="s">
        <v>111</v>
      </c>
      <c r="E12" s="89" t="n">
        <f aca="false">1/Data!$B$28</f>
        <v>0.891583452211127</v>
      </c>
      <c r="F12" s="88" t="n">
        <v>42.76</v>
      </c>
      <c r="G12" s="49" t="n">
        <f aca="false">C12*E12*F12</f>
        <v>20787.5513552068</v>
      </c>
      <c r="H12" s="16" t="n">
        <f aca="false">B50*1/Data!$B$28</f>
        <v>112.339514978602</v>
      </c>
      <c r="I12" s="49" t="n">
        <f aca="false">G12+H12</f>
        <v>20899.8908701855</v>
      </c>
      <c r="J12" s="16" t="n">
        <f aca="false">C50*1/Data!$B$28</f>
        <v>10689.1940085592</v>
      </c>
      <c r="K12" s="16" t="n">
        <f aca="false">D50*1/Data!$B$28</f>
        <v>1462.19686162625</v>
      </c>
      <c r="L12" s="16" t="n">
        <f aca="false">E50*1/Data!$B$28</f>
        <v>1114.47931526391</v>
      </c>
      <c r="M12" s="52" t="n">
        <f aca="false">IFERROR(I12/K12,0)</f>
        <v>14.2934863414634</v>
      </c>
      <c r="N12" s="52" t="n">
        <f aca="false">IFERROR(I12/J12,0)</f>
        <v>1.95523543247977</v>
      </c>
      <c r="O12" s="52" t="n">
        <f aca="false">IFERROR(G12/L12,0)</f>
        <v>18.65225408</v>
      </c>
      <c r="P12" s="21" t="s">
        <v>410</v>
      </c>
    </row>
    <row r="13" customFormat="false" ht="15" hidden="false" customHeight="false" outlineLevel="0" collapsed="false">
      <c r="A13" s="90" t="s">
        <v>411</v>
      </c>
      <c r="B13" s="91" t="s">
        <v>412</v>
      </c>
      <c r="C13" s="92" t="n">
        <f aca="false">Data!$B$2</f>
        <v>388.1</v>
      </c>
      <c r="D13" s="93" t="s">
        <v>51</v>
      </c>
      <c r="E13" s="94" t="n">
        <v>1</v>
      </c>
      <c r="F13" s="95" t="n">
        <f aca="false">WACC!B15</f>
        <v>494.958</v>
      </c>
      <c r="G13" s="96" t="n">
        <f aca="false">C13*E13*F13</f>
        <v>192093.1998</v>
      </c>
      <c r="H13" s="97" t="n">
        <f aca="false">Data!$B$12+Data!$B$13+Data!$B$14-Data!$B$15-Data!$B$16</f>
        <v>13068</v>
      </c>
      <c r="I13" s="96" t="n">
        <f aca="false">G13+H13</f>
        <v>205161.1998</v>
      </c>
      <c r="J13" s="97" t="n">
        <f aca="false">DCF!C11</f>
        <v>79903.46</v>
      </c>
      <c r="K13" s="97" t="n">
        <f aca="false">DCF!C21</f>
        <v>17199.10095</v>
      </c>
      <c r="L13" s="97" t="n">
        <f aca="false">DCF!B59</f>
        <v>11019.370665</v>
      </c>
      <c r="M13" s="98" t="n">
        <f aca="false">I13/K13</f>
        <v>11.9286002446541</v>
      </c>
      <c r="N13" s="98" t="n">
        <f aca="false">I13/J13</f>
        <v>2.56761346504895</v>
      </c>
      <c r="O13" s="98" t="n">
        <f aca="false">G13/L13</f>
        <v>17.4323203783435</v>
      </c>
      <c r="P13" s="99" t="s">
        <v>413</v>
      </c>
    </row>
    <row r="15" customFormat="false" ht="15" hidden="false" customHeight="false" outlineLevel="0" collapsed="false">
      <c r="A15" s="13" t="s">
        <v>414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00" t="n">
        <f aca="false">MEDIAN(M4:M8)</f>
        <v>16.4539369321219</v>
      </c>
      <c r="N15" s="100" t="n">
        <f aca="false">MEDIAN(N4:N8)</f>
        <v>3.16754188242461</v>
      </c>
      <c r="O15" s="100" t="n">
        <f aca="false">MEDIAN(O4:O8)</f>
        <v>23.2778426437646</v>
      </c>
      <c r="P15" s="15"/>
    </row>
    <row r="16" customFormat="false" ht="15" hidden="false" customHeight="false" outlineLevel="0" collapsed="false">
      <c r="A16" s="2" t="s">
        <v>415</v>
      </c>
      <c r="M16" s="52" t="n">
        <f aca="false">AVERAGE(M4:M8)</f>
        <v>14.5211902080227</v>
      </c>
      <c r="N16" s="52" t="n">
        <f aca="false">AVERAGE(N4:N8)</f>
        <v>3.63559750631672</v>
      </c>
      <c r="O16" s="52" t="n">
        <f aca="false">AVERAGE(O4:O8)</f>
        <v>23.8339282134641</v>
      </c>
    </row>
    <row r="17" customFormat="false" ht="15" hidden="false" customHeight="false" outlineLevel="0" collapsed="false">
      <c r="A17" s="2" t="s">
        <v>416</v>
      </c>
      <c r="M17" s="52" t="n">
        <f aca="false">QUARTILE(M4:M8,1)</f>
        <v>10.7539193381593</v>
      </c>
      <c r="N17" s="52" t="n">
        <f aca="false">QUARTILE(N4:N8,1)</f>
        <v>2.08276273594479</v>
      </c>
      <c r="O17" s="52" t="n">
        <f aca="false">QUARTILE(O4:O8,1)</f>
        <v>17.6549693251534</v>
      </c>
    </row>
    <row r="18" customFormat="false" ht="15" hidden="false" customHeight="false" outlineLevel="0" collapsed="false">
      <c r="A18" s="2" t="s">
        <v>417</v>
      </c>
      <c r="M18" s="52" t="n">
        <f aca="false">QUARTILE(M4:M8,3)</f>
        <v>17.0926378092264</v>
      </c>
      <c r="N18" s="52" t="n">
        <f aca="false">QUARTILE(N4:N8,3)</f>
        <v>3.75853363965195</v>
      </c>
      <c r="O18" s="52" t="n">
        <f aca="false">QUARTILE(O4:O8,3)</f>
        <v>28.8651042746114</v>
      </c>
    </row>
    <row r="19" customFormat="false" ht="15" hidden="false" customHeight="false" outlineLevel="0" collapsed="false">
      <c r="A19" s="11" t="s">
        <v>418</v>
      </c>
      <c r="M19" s="12" t="n">
        <f aca="false">M13/M15-1</f>
        <v>-0.275030632859258</v>
      </c>
      <c r="N19" s="12" t="n">
        <f aca="false">N13/N15-1</f>
        <v>-0.189398732406482</v>
      </c>
      <c r="O19" s="12" t="n">
        <f aca="false">O13/O15-1</f>
        <v>-0.251119588480721</v>
      </c>
    </row>
    <row r="21" customFormat="false" ht="15" hidden="false" customHeight="false" outlineLevel="0" collapsed="false">
      <c r="A21" s="8" t="s">
        <v>419</v>
      </c>
    </row>
    <row r="22" customFormat="false" ht="15" hidden="false" customHeight="false" outlineLevel="0" collapsed="false">
      <c r="A22" s="2" t="s">
        <v>420</v>
      </c>
      <c r="B22" s="16" t="n">
        <f aca="false">DCF!C21</f>
        <v>17199.10095</v>
      </c>
    </row>
    <row r="23" customFormat="false" ht="15" hidden="false" customHeight="false" outlineLevel="0" collapsed="false">
      <c r="A23" s="2" t="s">
        <v>421</v>
      </c>
      <c r="B23" s="52" t="n">
        <f aca="false">M15</f>
        <v>16.4539369321219</v>
      </c>
    </row>
    <row r="24" customFormat="false" ht="15" hidden="false" customHeight="false" outlineLevel="0" collapsed="false">
      <c r="A24" s="2" t="s">
        <v>422</v>
      </c>
      <c r="B24" s="49" t="n">
        <f aca="false">B22*B23</f>
        <v>282992.922320497</v>
      </c>
    </row>
    <row r="25" customFormat="false" ht="15" hidden="false" customHeight="false" outlineLevel="0" collapsed="false">
      <c r="A25" s="2" t="s">
        <v>423</v>
      </c>
      <c r="B25" s="16" t="n">
        <f aca="false">-Data!$B$12-Data!$B$13-Data!$B$14+Data!$B$15+Data!$B$16</f>
        <v>-13068</v>
      </c>
    </row>
    <row r="26" customFormat="false" ht="15" hidden="false" customHeight="false" outlineLevel="0" collapsed="false">
      <c r="A26" s="2" t="s">
        <v>424</v>
      </c>
      <c r="B26" s="49" t="n">
        <f aca="false">B24+B25</f>
        <v>269924.922320497</v>
      </c>
    </row>
    <row r="27" customFormat="false" ht="15" hidden="false" customHeight="false" outlineLevel="0" collapsed="false">
      <c r="A27" s="4" t="s">
        <v>361</v>
      </c>
      <c r="B27" s="67" t="n">
        <f aca="false">B26/WACC!$B$15</f>
        <v>545.349145423444</v>
      </c>
    </row>
    <row r="28" customFormat="false" ht="15" hidden="false" customHeight="false" outlineLevel="0" collapsed="false">
      <c r="A28" s="2" t="s">
        <v>425</v>
      </c>
      <c r="B28" s="5" t="n">
        <f aca="false">(B22*M17+B25)/WACC!$B$15</f>
        <v>347.281475004259</v>
      </c>
    </row>
    <row r="29" customFormat="false" ht="15" hidden="false" customHeight="false" outlineLevel="0" collapsed="false">
      <c r="A29" s="2" t="s">
        <v>426</v>
      </c>
      <c r="B29" s="5" t="n">
        <f aca="false">(B22*M18+B25)/WACC!$B$15</f>
        <v>567.543111097652</v>
      </c>
    </row>
    <row r="31" customFormat="false" ht="15" hidden="false" customHeight="false" outlineLevel="0" collapsed="false">
      <c r="A31" s="8" t="s">
        <v>427</v>
      </c>
    </row>
    <row r="32" customFormat="false" ht="30" hidden="false" customHeight="true" outlineLevel="0" collapsed="false">
      <c r="A32" s="22" t="s">
        <v>428</v>
      </c>
      <c r="B32" s="23" t="s">
        <v>429</v>
      </c>
      <c r="C32" s="23" t="s">
        <v>430</v>
      </c>
      <c r="D32" s="23" t="s">
        <v>431</v>
      </c>
      <c r="E32" s="23" t="s">
        <v>432</v>
      </c>
      <c r="F32" s="23" t="s">
        <v>433</v>
      </c>
      <c r="G32" s="23" t="s">
        <v>380</v>
      </c>
      <c r="H32" s="23" t="s">
        <v>434</v>
      </c>
      <c r="I32" s="23" t="s">
        <v>435</v>
      </c>
    </row>
    <row r="33" customFormat="false" ht="15" hidden="false" customHeight="false" outlineLevel="0" collapsed="false">
      <c r="A33" s="2" t="s">
        <v>239</v>
      </c>
      <c r="B33" s="87" t="s">
        <v>436</v>
      </c>
      <c r="C33" s="16" t="n">
        <f aca="false">DCF!C15</f>
        <v>1135.71025</v>
      </c>
      <c r="D33" s="52" t="n">
        <f aca="false">MEDIAN(M9:M10)</f>
        <v>12.0091876699218</v>
      </c>
      <c r="E33" s="10" t="n">
        <v>0</v>
      </c>
      <c r="F33" s="52" t="n">
        <f aca="false">D33*(1+E33)</f>
        <v>12.0091876699218</v>
      </c>
      <c r="G33" s="49" t="n">
        <f aca="false">C33*F33</f>
        <v>13638.9575309038</v>
      </c>
      <c r="H33" s="51" t="n">
        <f aca="false">G33/$G$39</f>
        <v>0.0578790792760785</v>
      </c>
      <c r="I33" s="21" t="s">
        <v>437</v>
      </c>
    </row>
    <row r="34" customFormat="false" ht="15" hidden="false" customHeight="false" outlineLevel="0" collapsed="false">
      <c r="A34" s="2" t="s">
        <v>240</v>
      </c>
      <c r="B34" s="87" t="s">
        <v>438</v>
      </c>
      <c r="C34" s="16" t="n">
        <f aca="false">DCF!C16</f>
        <v>12288.8376</v>
      </c>
      <c r="D34" s="52" t="n">
        <f aca="false">MEDIAN(M4,M6,M7,M8)</f>
        <v>13.6039281351406</v>
      </c>
      <c r="E34" s="10" t="n">
        <v>0</v>
      </c>
      <c r="F34" s="52" t="n">
        <f aca="false">D34*(1+E34)</f>
        <v>13.6039281351406</v>
      </c>
      <c r="G34" s="49" t="n">
        <f aca="false">C34*F34</f>
        <v>167176.463574813</v>
      </c>
      <c r="H34" s="51" t="n">
        <f aca="false">G34/$G$39</f>
        <v>0.709439835589829</v>
      </c>
      <c r="I34" s="21" t="s">
        <v>439</v>
      </c>
    </row>
    <row r="35" customFormat="false" ht="15" hidden="false" customHeight="false" outlineLevel="0" collapsed="false">
      <c r="A35" s="2" t="s">
        <v>241</v>
      </c>
      <c r="B35" s="87" t="s">
        <v>405</v>
      </c>
      <c r="C35" s="16" t="n">
        <f aca="false">DCF!C17</f>
        <v>769.3746</v>
      </c>
      <c r="D35" s="52" t="n">
        <f aca="false">M11</f>
        <v>22.4566333333333</v>
      </c>
      <c r="E35" s="10" t="n">
        <v>-0.2</v>
      </c>
      <c r="F35" s="52" t="n">
        <f aca="false">D35*(1+E35)</f>
        <v>17.9653066666667</v>
      </c>
      <c r="G35" s="49" t="n">
        <f aca="false">C35*F35</f>
        <v>13822.050630544</v>
      </c>
      <c r="H35" s="51" t="n">
        <f aca="false">G35/$G$39</f>
        <v>0.058656063881021</v>
      </c>
      <c r="I35" s="21" t="s">
        <v>440</v>
      </c>
    </row>
    <row r="36" customFormat="false" ht="15" hidden="false" customHeight="false" outlineLevel="0" collapsed="false">
      <c r="A36" s="2" t="s">
        <v>242</v>
      </c>
      <c r="B36" s="87" t="s">
        <v>391</v>
      </c>
      <c r="C36" s="16" t="n">
        <f aca="false">DCF!C18</f>
        <v>1652.6085</v>
      </c>
      <c r="D36" s="52" t="n">
        <f aca="false">M5</f>
        <v>17.0926378092264</v>
      </c>
      <c r="E36" s="10" t="n">
        <v>-0.15</v>
      </c>
      <c r="F36" s="52" t="n">
        <f aca="false">D36*(1+E36)</f>
        <v>14.5287421378424</v>
      </c>
      <c r="G36" s="49" t="n">
        <f aca="false">C36*F36</f>
        <v>24010.3227513066</v>
      </c>
      <c r="H36" s="51" t="n">
        <f aca="false">G36/$G$39</f>
        <v>0.101891612377138</v>
      </c>
      <c r="I36" s="21" t="s">
        <v>441</v>
      </c>
    </row>
    <row r="37" customFormat="false" ht="15" hidden="false" customHeight="false" outlineLevel="0" collapsed="false">
      <c r="A37" s="2" t="s">
        <v>243</v>
      </c>
      <c r="B37" s="87" t="s">
        <v>408</v>
      </c>
      <c r="C37" s="16" t="n">
        <f aca="false">DCF!C19</f>
        <v>1832.57</v>
      </c>
      <c r="D37" s="52" t="n">
        <f aca="false">M12</f>
        <v>14.2934863414634</v>
      </c>
      <c r="E37" s="10" t="n">
        <v>-0.1</v>
      </c>
      <c r="F37" s="52" t="n">
        <f aca="false">D37*(1+E37)</f>
        <v>12.8641377073171</v>
      </c>
      <c r="G37" s="49" t="n">
        <f aca="false">C37*F37</f>
        <v>23574.432838298</v>
      </c>
      <c r="H37" s="51" t="n">
        <f aca="false">G37/$G$39</f>
        <v>0.10004184440378</v>
      </c>
      <c r="I37" s="21" t="s">
        <v>442</v>
      </c>
    </row>
    <row r="38" customFormat="false" ht="15" hidden="false" customHeight="false" outlineLevel="0" collapsed="false">
      <c r="A38" s="2" t="s">
        <v>244</v>
      </c>
      <c r="B38" s="87" t="s">
        <v>443</v>
      </c>
      <c r="C38" s="16" t="n">
        <f aca="false">DCF!C20</f>
        <v>-480</v>
      </c>
      <c r="D38" s="52" t="n">
        <f aca="false">SUMPRODUCT(F33:F37,C33:C37)/SUM(C33:C37)</f>
        <v>13.7010489397011</v>
      </c>
      <c r="E38" s="10" t="n">
        <v>0</v>
      </c>
      <c r="F38" s="52" t="n">
        <f aca="false">D38*(1+E38)</f>
        <v>13.7010489397011</v>
      </c>
      <c r="G38" s="49" t="n">
        <f aca="false">C38*F38</f>
        <v>-6576.50349105651</v>
      </c>
      <c r="H38" s="51" t="n">
        <f aca="false">G38/$G$39</f>
        <v>-0.0279084355278466</v>
      </c>
      <c r="I38" s="21" t="s">
        <v>444</v>
      </c>
    </row>
    <row r="39" customFormat="false" ht="15" hidden="false" customHeight="false" outlineLevel="0" collapsed="false">
      <c r="A39" s="13" t="s">
        <v>445</v>
      </c>
      <c r="B39" s="15"/>
      <c r="C39" s="48" t="n">
        <f aca="false">SUM(C33:C38)</f>
        <v>17199.10095</v>
      </c>
      <c r="D39" s="15"/>
      <c r="E39" s="15"/>
      <c r="F39" s="100" t="n">
        <f aca="false">G39/C39</f>
        <v>13.7010489397011</v>
      </c>
      <c r="G39" s="48" t="n">
        <f aca="false">SUM(G33:G38)</f>
        <v>235645.723834809</v>
      </c>
      <c r="H39" s="57" t="n">
        <f aca="false">SUM(H33:H38)</f>
        <v>1</v>
      </c>
      <c r="I39" s="15"/>
    </row>
    <row r="40" customFormat="false" ht="15" hidden="false" customHeight="false" outlineLevel="0" collapsed="false">
      <c r="A40" s="2" t="s">
        <v>423</v>
      </c>
      <c r="G40" s="49" t="n">
        <f aca="false">B25</f>
        <v>-13068</v>
      </c>
    </row>
    <row r="41" customFormat="false" ht="15" hidden="false" customHeight="false" outlineLevel="0" collapsed="false">
      <c r="A41" s="2" t="s">
        <v>446</v>
      </c>
      <c r="G41" s="49" t="n">
        <f aca="false">G39+G40</f>
        <v>222577.723834809</v>
      </c>
    </row>
    <row r="42" customFormat="false" ht="15" hidden="false" customHeight="false" outlineLevel="0" collapsed="false">
      <c r="A42" s="4" t="s">
        <v>447</v>
      </c>
      <c r="G42" s="67" t="n">
        <f aca="false">G41/WACC!$B$15</f>
        <v>449.690122868626</v>
      </c>
    </row>
    <row r="43" customFormat="false" ht="15" hidden="false" customHeight="false" outlineLevel="0" collapsed="false">
      <c r="A43" s="2" t="s">
        <v>448</v>
      </c>
      <c r="G43" s="5" t="n">
        <f aca="false">(G39-C39*1+G40)/WACC!$B$15</f>
        <v>414.941516017135</v>
      </c>
    </row>
    <row r="44" customFormat="false" ht="15" hidden="false" customHeight="false" outlineLevel="0" collapsed="false">
      <c r="A44" s="2" t="s">
        <v>449</v>
      </c>
      <c r="G44" s="5" t="n">
        <f aca="false">(G39+C39*1+G40)/WACC!$B$15</f>
        <v>484.438729720116</v>
      </c>
    </row>
    <row r="45" customFormat="false" ht="15" hidden="false" customHeight="false" outlineLevel="0" collapsed="false">
      <c r="A45" s="2" t="s">
        <v>450</v>
      </c>
      <c r="G45" s="51" t="n">
        <f aca="false">I13/G39-1</f>
        <v>-0.129365912263187</v>
      </c>
    </row>
    <row r="47" customFormat="false" ht="15" hidden="false" customHeight="false" outlineLevel="0" collapsed="false">
      <c r="A47" s="8" t="s">
        <v>451</v>
      </c>
    </row>
    <row r="48" customFormat="false" ht="23.85" hidden="false" customHeight="false" outlineLevel="0" collapsed="false">
      <c r="A48" s="22" t="s">
        <v>1</v>
      </c>
      <c r="B48" s="23" t="s">
        <v>452</v>
      </c>
      <c r="C48" s="23" t="s">
        <v>453</v>
      </c>
      <c r="D48" s="23" t="s">
        <v>454</v>
      </c>
      <c r="E48" s="23" t="s">
        <v>455</v>
      </c>
      <c r="F48" s="23" t="s">
        <v>456</v>
      </c>
    </row>
    <row r="49" customFormat="false" ht="15" hidden="false" customHeight="false" outlineLevel="0" collapsed="false">
      <c r="A49" s="2" t="s">
        <v>403</v>
      </c>
      <c r="B49" s="35" t="n">
        <v>20500</v>
      </c>
      <c r="C49" s="35" t="n">
        <v>19643</v>
      </c>
      <c r="D49" s="35" t="n">
        <v>5677</v>
      </c>
      <c r="E49" s="35" t="n">
        <v>3676</v>
      </c>
      <c r="F49" s="21" t="s">
        <v>457</v>
      </c>
    </row>
    <row r="50" customFormat="false" ht="15" hidden="false" customHeight="false" outlineLevel="0" collapsed="false">
      <c r="A50" s="2" t="s">
        <v>408</v>
      </c>
      <c r="B50" s="35" t="n">
        <v>126</v>
      </c>
      <c r="C50" s="35" t="n">
        <v>11989</v>
      </c>
      <c r="D50" s="35" t="n">
        <v>1640</v>
      </c>
      <c r="E50" s="35" t="n">
        <v>1250</v>
      </c>
      <c r="F50" s="21" t="s">
        <v>458</v>
      </c>
    </row>
    <row r="52" customFormat="false" ht="15" hidden="false" customHeight="false" outlineLevel="0" collapsed="false">
      <c r="A52" s="21" t="s">
        <v>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0" min="10" style="0" width="62"/>
  </cols>
  <sheetData>
    <row r="1" customFormat="false" ht="16.15" hidden="false" customHeight="false" outlineLevel="0" collapsed="false">
      <c r="B1" s="43" t="s">
        <v>460</v>
      </c>
    </row>
    <row r="3" customFormat="false" ht="30" hidden="false" customHeight="true" outlineLevel="0" collapsed="false">
      <c r="A3" s="22" t="s">
        <v>461</v>
      </c>
      <c r="B3" s="23" t="s">
        <v>462</v>
      </c>
      <c r="C3" s="23" t="s">
        <v>463</v>
      </c>
      <c r="D3" s="23" t="s">
        <v>464</v>
      </c>
      <c r="E3" s="23" t="s">
        <v>376</v>
      </c>
      <c r="F3" s="23" t="s">
        <v>465</v>
      </c>
      <c r="G3" s="23" t="s">
        <v>466</v>
      </c>
      <c r="H3" s="23" t="s">
        <v>467</v>
      </c>
      <c r="I3" s="23" t="s">
        <v>468</v>
      </c>
      <c r="J3" s="23" t="s">
        <v>469</v>
      </c>
    </row>
    <row r="4" customFormat="false" ht="15" hidden="false" customHeight="false" outlineLevel="0" collapsed="false">
      <c r="A4" s="101" t="s">
        <v>470</v>
      </c>
      <c r="B4" s="2" t="s">
        <v>394</v>
      </c>
      <c r="C4" s="2" t="s">
        <v>471</v>
      </c>
      <c r="D4" s="35" t="n">
        <v>3500</v>
      </c>
      <c r="E4" s="26" t="s">
        <v>51</v>
      </c>
      <c r="F4" s="102" t="n">
        <v>23.3</v>
      </c>
      <c r="G4" s="101" t="s">
        <v>57</v>
      </c>
      <c r="H4" s="52" t="str">
        <f aca="false">IF(G4="Y",F4,"")</f>
        <v/>
      </c>
      <c r="I4" s="26" t="s">
        <v>263</v>
      </c>
      <c r="J4" s="21" t="s">
        <v>472</v>
      </c>
    </row>
    <row r="5" customFormat="false" ht="15" hidden="false" customHeight="false" outlineLevel="0" collapsed="false">
      <c r="A5" s="101" t="s">
        <v>470</v>
      </c>
      <c r="B5" s="2" t="s">
        <v>473</v>
      </c>
      <c r="C5" s="2" t="s">
        <v>474</v>
      </c>
      <c r="D5" s="35" t="n">
        <v>8500</v>
      </c>
      <c r="E5" s="26" t="s">
        <v>111</v>
      </c>
      <c r="F5" s="102" t="n">
        <v>9</v>
      </c>
      <c r="G5" s="101" t="s">
        <v>53</v>
      </c>
      <c r="H5" s="52" t="n">
        <f aca="false">IF(G5="Y",F5,"")</f>
        <v>9</v>
      </c>
      <c r="I5" s="26" t="s">
        <v>262</v>
      </c>
      <c r="J5" s="21" t="s">
        <v>475</v>
      </c>
    </row>
    <row r="6" customFormat="false" ht="15" hidden="false" customHeight="false" outlineLevel="0" collapsed="false">
      <c r="A6" s="101" t="s">
        <v>476</v>
      </c>
      <c r="B6" s="2" t="s">
        <v>477</v>
      </c>
      <c r="C6" s="2" t="s">
        <v>478</v>
      </c>
      <c r="D6" s="35" t="n">
        <v>15800</v>
      </c>
      <c r="E6" s="26" t="s">
        <v>111</v>
      </c>
      <c r="F6" s="102" t="n">
        <v>18.5</v>
      </c>
      <c r="G6" s="101" t="s">
        <v>53</v>
      </c>
      <c r="H6" s="52" t="n">
        <f aca="false">IF(G6="Y",F6,"")</f>
        <v>18.5</v>
      </c>
      <c r="I6" s="26" t="s">
        <v>264</v>
      </c>
      <c r="J6" s="21" t="s">
        <v>479</v>
      </c>
    </row>
    <row r="7" customFormat="false" ht="15" hidden="false" customHeight="false" outlineLevel="0" collapsed="false">
      <c r="A7" s="101" t="s">
        <v>480</v>
      </c>
      <c r="B7" s="2" t="s">
        <v>481</v>
      </c>
      <c r="C7" s="2" t="s">
        <v>482</v>
      </c>
      <c r="D7" s="35" t="n">
        <v>1830</v>
      </c>
      <c r="E7" s="26" t="s">
        <v>51</v>
      </c>
      <c r="F7" s="102" t="n">
        <v>22</v>
      </c>
      <c r="G7" s="101" t="s">
        <v>57</v>
      </c>
      <c r="H7" s="52" t="str">
        <f aca="false">IF(G7="Y",F7,"")</f>
        <v/>
      </c>
      <c r="I7" s="26" t="s">
        <v>262</v>
      </c>
      <c r="J7" s="21" t="s">
        <v>483</v>
      </c>
    </row>
    <row r="8" customFormat="false" ht="15" hidden="false" customHeight="false" outlineLevel="0" collapsed="false">
      <c r="A8" s="101" t="s">
        <v>484</v>
      </c>
      <c r="B8" s="2" t="s">
        <v>481</v>
      </c>
      <c r="C8" s="2" t="s">
        <v>485</v>
      </c>
      <c r="D8" s="35" t="n">
        <v>1158</v>
      </c>
      <c r="E8" s="26" t="s">
        <v>51</v>
      </c>
      <c r="F8" s="102" t="n">
        <v>17.5</v>
      </c>
      <c r="G8" s="101" t="s">
        <v>57</v>
      </c>
      <c r="H8" s="52" t="str">
        <f aca="false">IF(G8="Y",F8,"")</f>
        <v/>
      </c>
      <c r="I8" s="26" t="s">
        <v>262</v>
      </c>
      <c r="J8" s="21" t="s">
        <v>486</v>
      </c>
    </row>
    <row r="9" customFormat="false" ht="15" hidden="false" customHeight="false" outlineLevel="0" collapsed="false">
      <c r="A9" s="101" t="s">
        <v>484</v>
      </c>
      <c r="B9" s="2" t="s">
        <v>487</v>
      </c>
      <c r="C9" s="2" t="s">
        <v>488</v>
      </c>
      <c r="D9" s="35" t="n">
        <v>2400</v>
      </c>
      <c r="E9" s="26" t="s">
        <v>111</v>
      </c>
      <c r="F9" s="102" t="n">
        <v>10.4</v>
      </c>
      <c r="G9" s="101" t="s">
        <v>57</v>
      </c>
      <c r="H9" s="52" t="str">
        <f aca="false">IF(G9="Y",F9,"")</f>
        <v/>
      </c>
      <c r="I9" s="26" t="s">
        <v>262</v>
      </c>
      <c r="J9" s="21" t="s">
        <v>489</v>
      </c>
    </row>
    <row r="10" customFormat="false" ht="15" hidden="false" customHeight="false" outlineLevel="0" collapsed="false">
      <c r="A10" s="101" t="s">
        <v>484</v>
      </c>
      <c r="B10" s="2" t="s">
        <v>477</v>
      </c>
      <c r="C10" s="2" t="s">
        <v>490</v>
      </c>
      <c r="D10" s="35" t="n">
        <v>6500</v>
      </c>
      <c r="E10" s="26" t="s">
        <v>51</v>
      </c>
      <c r="F10" s="102" t="n">
        <v>15.6</v>
      </c>
      <c r="G10" s="101" t="s">
        <v>53</v>
      </c>
      <c r="H10" s="52" t="n">
        <f aca="false">IF(G10="Y",F10,"")</f>
        <v>15.6</v>
      </c>
      <c r="I10" s="26" t="s">
        <v>262</v>
      </c>
      <c r="J10" s="21" t="s">
        <v>491</v>
      </c>
    </row>
    <row r="11" customFormat="false" ht="15" hidden="false" customHeight="false" outlineLevel="0" collapsed="false">
      <c r="A11" s="101" t="s">
        <v>492</v>
      </c>
      <c r="B11" s="2" t="s">
        <v>493</v>
      </c>
      <c r="C11" s="2" t="s">
        <v>494</v>
      </c>
      <c r="D11" s="35" t="n">
        <v>1800</v>
      </c>
      <c r="E11" s="26" t="s">
        <v>111</v>
      </c>
      <c r="F11" s="102" t="n">
        <v>13.6</v>
      </c>
      <c r="G11" s="101" t="s">
        <v>57</v>
      </c>
      <c r="H11" s="52" t="str">
        <f aca="false">IF(G11="Y",F11,"")</f>
        <v/>
      </c>
      <c r="I11" s="26" t="s">
        <v>262</v>
      </c>
      <c r="J11" s="21" t="s">
        <v>489</v>
      </c>
    </row>
    <row r="12" customFormat="false" ht="15" hidden="false" customHeight="false" outlineLevel="0" collapsed="false">
      <c r="A12" s="101" t="s">
        <v>495</v>
      </c>
      <c r="B12" s="2" t="s">
        <v>477</v>
      </c>
      <c r="C12" s="2" t="s">
        <v>496</v>
      </c>
      <c r="D12" s="35" t="n">
        <v>2700</v>
      </c>
      <c r="E12" s="26" t="s">
        <v>51</v>
      </c>
      <c r="F12" s="102" t="n">
        <v>21</v>
      </c>
      <c r="G12" s="101" t="s">
        <v>57</v>
      </c>
      <c r="H12" s="52" t="str">
        <f aca="false">IF(G12="Y",F12,"")</f>
        <v/>
      </c>
      <c r="I12" s="26" t="s">
        <v>262</v>
      </c>
      <c r="J12" s="21" t="s">
        <v>497</v>
      </c>
    </row>
    <row r="13" customFormat="false" ht="15" hidden="false" customHeight="false" outlineLevel="0" collapsed="false">
      <c r="A13" s="101" t="s">
        <v>495</v>
      </c>
      <c r="B13" s="2" t="s">
        <v>498</v>
      </c>
      <c r="C13" s="2" t="s">
        <v>499</v>
      </c>
      <c r="D13" s="35" t="n">
        <v>1000</v>
      </c>
      <c r="E13" s="26" t="s">
        <v>111</v>
      </c>
      <c r="F13" s="102" t="n">
        <v>24.4</v>
      </c>
      <c r="G13" s="101" t="s">
        <v>57</v>
      </c>
      <c r="H13" s="52" t="str">
        <f aca="false">IF(G13="Y",F13,"")</f>
        <v/>
      </c>
      <c r="I13" s="26" t="s">
        <v>264</v>
      </c>
      <c r="J13" s="21" t="s">
        <v>489</v>
      </c>
    </row>
    <row r="14" customFormat="false" ht="15" hidden="false" customHeight="false" outlineLevel="0" collapsed="false">
      <c r="A14" s="101" t="s">
        <v>500</v>
      </c>
      <c r="B14" s="2" t="s">
        <v>501</v>
      </c>
      <c r="C14" s="2" t="s">
        <v>502</v>
      </c>
      <c r="D14" s="35" t="n">
        <v>700</v>
      </c>
      <c r="E14" s="26" t="s">
        <v>51</v>
      </c>
      <c r="F14" s="102" t="n">
        <v>31.6</v>
      </c>
      <c r="G14" s="101" t="s">
        <v>57</v>
      </c>
      <c r="H14" s="52" t="str">
        <f aca="false">IF(G14="Y",F14,"")</f>
        <v/>
      </c>
      <c r="I14" s="26" t="s">
        <v>262</v>
      </c>
      <c r="J14" s="21" t="s">
        <v>503</v>
      </c>
    </row>
    <row r="15" customFormat="false" ht="15" hidden="false" customHeight="false" outlineLevel="0" collapsed="false">
      <c r="A15" s="101" t="s">
        <v>504</v>
      </c>
      <c r="B15" s="2" t="s">
        <v>477</v>
      </c>
      <c r="C15" s="2" t="s">
        <v>505</v>
      </c>
      <c r="D15" s="35" t="n">
        <v>4300</v>
      </c>
      <c r="E15" s="26" t="s">
        <v>51</v>
      </c>
      <c r="F15" s="102" t="n">
        <v>25.8</v>
      </c>
      <c r="G15" s="101" t="s">
        <v>57</v>
      </c>
      <c r="H15" s="52" t="str">
        <f aca="false">IF(G15="Y",F15,"")</f>
        <v/>
      </c>
      <c r="I15" s="26" t="s">
        <v>264</v>
      </c>
      <c r="J15" s="21" t="s">
        <v>489</v>
      </c>
    </row>
    <row r="17" customFormat="false" ht="15" hidden="false" customHeight="false" outlineLevel="0" collapsed="false">
      <c r="A17" s="2" t="s">
        <v>506</v>
      </c>
      <c r="B17" s="52" t="n">
        <f aca="false">MEDIAN(F4:F15)</f>
        <v>19.75</v>
      </c>
    </row>
    <row r="18" customFormat="false" ht="15" hidden="false" customHeight="false" outlineLevel="0" collapsed="false">
      <c r="A18" s="2" t="s">
        <v>507</v>
      </c>
      <c r="B18" s="52" t="n">
        <f aca="false">AVERAGE(F4:F15)</f>
        <v>19.3916666666667</v>
      </c>
    </row>
    <row r="19" customFormat="false" ht="15" hidden="false" customHeight="false" outlineLevel="0" collapsed="false">
      <c r="A19" s="2" t="s">
        <v>508</v>
      </c>
      <c r="B19" s="52" t="n">
        <f aca="false">QUARTILE(F4:F15,1)</f>
        <v>15.1</v>
      </c>
    </row>
    <row r="20" customFormat="false" ht="15" hidden="false" customHeight="false" outlineLevel="0" collapsed="false">
      <c r="A20" s="2" t="s">
        <v>509</v>
      </c>
      <c r="B20" s="52" t="n">
        <f aca="false">QUARTILE(F4:F15,3)</f>
        <v>23.575</v>
      </c>
    </row>
    <row r="21" customFormat="false" ht="15" hidden="false" customHeight="false" outlineLevel="0" collapsed="false">
      <c r="A21" s="4" t="s">
        <v>510</v>
      </c>
      <c r="B21" s="84" t="n">
        <f aca="false">MEDIAN(H4:H15)</f>
        <v>15.6</v>
      </c>
    </row>
    <row r="22" customFormat="false" ht="15" hidden="false" customHeight="false" outlineLevel="0" collapsed="false">
      <c r="A22" s="2" t="s">
        <v>511</v>
      </c>
      <c r="B22" s="52" t="n">
        <f aca="false">MIN(H4:H15)</f>
        <v>9</v>
      </c>
    </row>
    <row r="23" customFormat="false" ht="15" hidden="false" customHeight="false" outlineLevel="0" collapsed="false">
      <c r="A23" s="2" t="s">
        <v>512</v>
      </c>
      <c r="B23" s="52" t="n">
        <f aca="false">MAX(H4:H15)</f>
        <v>18.5</v>
      </c>
    </row>
    <row r="25" customFormat="false" ht="15" hidden="false" customHeight="false" outlineLevel="0" collapsed="false">
      <c r="A25" s="8" t="s">
        <v>513</v>
      </c>
    </row>
    <row r="26" customFormat="false" ht="15" hidden="false" customHeight="false" outlineLevel="0" collapsed="false">
      <c r="A26" s="2" t="s">
        <v>514</v>
      </c>
      <c r="B26" s="16" t="n">
        <f aca="false">DCF!C34</f>
        <v>21274.17741</v>
      </c>
    </row>
    <row r="27" customFormat="false" ht="15" hidden="false" customHeight="false" outlineLevel="0" collapsed="false">
      <c r="A27" s="2" t="s">
        <v>515</v>
      </c>
      <c r="B27" s="52" t="n">
        <f aca="false">B21</f>
        <v>15.6</v>
      </c>
    </row>
    <row r="28" customFormat="false" ht="15" hidden="false" customHeight="false" outlineLevel="0" collapsed="false">
      <c r="A28" s="2" t="s">
        <v>422</v>
      </c>
      <c r="B28" s="49" t="n">
        <f aca="false">B26*B27</f>
        <v>331877.167596</v>
      </c>
    </row>
    <row r="29" customFormat="false" ht="15" hidden="false" customHeight="false" outlineLevel="0" collapsed="false">
      <c r="A29" s="2" t="s">
        <v>423</v>
      </c>
      <c r="B29" s="16" t="n">
        <f aca="false">Trading_Comps!B25</f>
        <v>-13068</v>
      </c>
    </row>
    <row r="30" customFormat="false" ht="15" hidden="false" customHeight="false" outlineLevel="0" collapsed="false">
      <c r="A30" s="2" t="s">
        <v>424</v>
      </c>
      <c r="B30" s="49" t="n">
        <f aca="false">B28+B29</f>
        <v>318809.167596</v>
      </c>
    </row>
    <row r="31" customFormat="false" ht="15" hidden="false" customHeight="false" outlineLevel="0" collapsed="false">
      <c r="A31" s="4" t="s">
        <v>361</v>
      </c>
      <c r="B31" s="67" t="n">
        <f aca="false">B30/WACC!$B$15</f>
        <v>644.1135764974</v>
      </c>
    </row>
    <row r="32" customFormat="false" ht="15" hidden="false" customHeight="false" outlineLevel="0" collapsed="false">
      <c r="A32" s="2" t="s">
        <v>516</v>
      </c>
      <c r="B32" s="5" t="n">
        <f aca="false">(B26*B22+B29)/WACC!$B$15</f>
        <v>360.433807898852</v>
      </c>
    </row>
    <row r="33" customFormat="false" ht="15" hidden="false" customHeight="false" outlineLevel="0" collapsed="false">
      <c r="A33" s="2" t="s">
        <v>517</v>
      </c>
      <c r="B33" s="5" t="n">
        <f aca="false">(B26*B23+B29)/WACC!$B$15</f>
        <v>768.760747548277</v>
      </c>
    </row>
    <row r="35" customFormat="false" ht="15" hidden="false" customHeight="false" outlineLevel="0" collapsed="false">
      <c r="A35" s="21" t="s">
        <v>518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4" min="4" style="0" width="40"/>
  </cols>
  <sheetData>
    <row r="1" customFormat="false" ht="16.15" hidden="false" customHeight="false" outlineLevel="0" collapsed="false">
      <c r="B1" s="43" t="s">
        <v>519</v>
      </c>
    </row>
    <row r="3" customFormat="false" ht="15" hidden="false" customHeight="false" outlineLevel="0" collapsed="false">
      <c r="A3" s="22" t="s">
        <v>520</v>
      </c>
      <c r="B3" s="23" t="s">
        <v>521</v>
      </c>
      <c r="C3" s="23" t="s">
        <v>522</v>
      </c>
      <c r="D3" s="23" t="s">
        <v>456</v>
      </c>
    </row>
    <row r="4" customFormat="false" ht="15" hidden="false" customHeight="false" outlineLevel="0" collapsed="false">
      <c r="A4" s="2" t="s">
        <v>523</v>
      </c>
      <c r="B4" s="5" t="n">
        <f aca="false">Sensitivity!E9</f>
        <v>438.65965529996</v>
      </c>
      <c r="C4" s="5" t="n">
        <f aca="false">Sensitivity!E7</f>
        <v>530.121740430749</v>
      </c>
      <c r="D4" s="21" t="s">
        <v>524</v>
      </c>
    </row>
    <row r="5" customFormat="false" ht="15" hidden="false" customHeight="false" outlineLevel="0" collapsed="false">
      <c r="A5" s="2" t="s">
        <v>525</v>
      </c>
      <c r="B5" s="5" t="n">
        <f aca="false">Sensitivity!E19</f>
        <v>511.643779357463</v>
      </c>
      <c r="C5" s="5" t="n">
        <f aca="false">Sensitivity!E17</f>
        <v>534.715471433318</v>
      </c>
      <c r="D5" s="21" t="s">
        <v>526</v>
      </c>
    </row>
    <row r="6" customFormat="false" ht="15" hidden="false" customHeight="false" outlineLevel="0" collapsed="false">
      <c r="A6" s="2" t="s">
        <v>527</v>
      </c>
      <c r="B6" s="5" t="n">
        <f aca="false">Trading_Comps!B28</f>
        <v>347.281475004259</v>
      </c>
      <c r="C6" s="5" t="n">
        <f aca="false">Trading_Comps!B29</f>
        <v>567.543111097652</v>
      </c>
      <c r="D6" s="21" t="s">
        <v>528</v>
      </c>
    </row>
    <row r="7" customFormat="false" ht="15" hidden="false" customHeight="false" outlineLevel="0" collapsed="false">
      <c r="A7" s="2" t="s">
        <v>24</v>
      </c>
      <c r="B7" s="5" t="n">
        <f aca="false">Trading_Comps!G43</f>
        <v>414.941516017135</v>
      </c>
      <c r="C7" s="5" t="n">
        <f aca="false">Trading_Comps!G44</f>
        <v>484.438729720116</v>
      </c>
      <c r="D7" s="21" t="s">
        <v>529</v>
      </c>
    </row>
    <row r="8" customFormat="false" ht="15" hidden="false" customHeight="false" outlineLevel="0" collapsed="false">
      <c r="A8" s="2" t="s">
        <v>25</v>
      </c>
      <c r="B8" s="5" t="n">
        <f aca="false">Precedent_Transactions!B32</f>
        <v>360.433807898852</v>
      </c>
      <c r="C8" s="5" t="n">
        <f aca="false">Precedent_Transactions!B33</f>
        <v>768.760747548277</v>
      </c>
      <c r="D8" s="21" t="s">
        <v>530</v>
      </c>
    </row>
    <row r="9" customFormat="false" ht="15" hidden="false" customHeight="false" outlineLevel="0" collapsed="false">
      <c r="A9" s="2" t="s">
        <v>531</v>
      </c>
      <c r="B9" s="5" t="n">
        <f aca="false">Data!$B$7</f>
        <v>375.65</v>
      </c>
      <c r="C9" s="5" t="n">
        <f aca="false">Data!$B$8</f>
        <v>654.7</v>
      </c>
      <c r="D9" s="21" t="s">
        <v>62</v>
      </c>
    </row>
    <row r="10" customFormat="false" ht="15" hidden="false" customHeight="false" outlineLevel="0" collapsed="false">
      <c r="A10" s="2" t="s">
        <v>532</v>
      </c>
      <c r="B10" s="5" t="n">
        <f aca="false">Data!$B$26</f>
        <v>415</v>
      </c>
      <c r="C10" s="5" t="n">
        <f aca="false">Data!$B$27</f>
        <v>590</v>
      </c>
      <c r="D10" s="21" t="s">
        <v>533</v>
      </c>
    </row>
    <row r="12" customFormat="false" ht="15" hidden="false" customHeight="false" outlineLevel="0" collapsed="false">
      <c r="A12" s="4" t="s">
        <v>534</v>
      </c>
      <c r="B12" s="67" t="n">
        <f aca="false">WACC!B14</f>
        <v>388.1</v>
      </c>
    </row>
    <row r="13" customFormat="false" ht="15" hidden="false" customHeight="false" outlineLevel="0" collapsed="false">
      <c r="A13" s="4" t="s">
        <v>535</v>
      </c>
      <c r="B13" s="67" t="n">
        <f aca="false">Cover!B16</f>
        <v>504.84186809946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8" t="s">
        <v>536</v>
      </c>
    </row>
    <row r="3" customFormat="false" ht="15" hidden="false" customHeight="false" outlineLevel="0" collapsed="false">
      <c r="A3" s="8" t="s">
        <v>537</v>
      </c>
    </row>
    <row r="4" customFormat="false" ht="15" hidden="false" customHeight="false" outlineLevel="0" collapsed="false">
      <c r="A4" s="8" t="s">
        <v>538</v>
      </c>
      <c r="B4" s="8" t="s">
        <v>521</v>
      </c>
      <c r="C4" s="8" t="s">
        <v>522</v>
      </c>
      <c r="D4" s="8" t="s">
        <v>539</v>
      </c>
      <c r="E4" s="8" t="s">
        <v>540</v>
      </c>
    </row>
    <row r="5" customFormat="false" ht="15" hidden="false" customHeight="false" outlineLevel="0" collapsed="false">
      <c r="A5" s="20" t="str">
        <f aca="false">Football_Field!A4</f>
        <v>DCF - Gordon growth</v>
      </c>
      <c r="B5" s="5" t="n">
        <f aca="false">Football_Field!B4</f>
        <v>438.65965529996</v>
      </c>
      <c r="C5" s="5" t="n">
        <f aca="false">Football_Field!C4</f>
        <v>530.121740430749</v>
      </c>
      <c r="D5" s="50" t="n">
        <f aca="false">B5</f>
        <v>438.65965529996</v>
      </c>
      <c r="E5" s="50" t="n">
        <f aca="false">C5-B5</f>
        <v>91.4620851307889</v>
      </c>
    </row>
    <row r="6" customFormat="false" ht="15" hidden="false" customHeight="false" outlineLevel="0" collapsed="false">
      <c r="A6" s="20" t="str">
        <f aca="false">Football_Field!A5</f>
        <v>DCF - Exit multiple</v>
      </c>
      <c r="B6" s="5" t="n">
        <f aca="false">Football_Field!B5</f>
        <v>511.643779357463</v>
      </c>
      <c r="C6" s="5" t="n">
        <f aca="false">Football_Field!C5</f>
        <v>534.715471433318</v>
      </c>
      <c r="D6" s="50" t="n">
        <f aca="false">B6</f>
        <v>511.643779357463</v>
      </c>
      <c r="E6" s="50" t="n">
        <f aca="false">C6-B6</f>
        <v>23.0716920758554</v>
      </c>
    </row>
    <row r="7" customFormat="false" ht="15" hidden="false" customHeight="false" outlineLevel="0" collapsed="false">
      <c r="A7" s="20" t="str">
        <f aca="false">Football_Field!A6</f>
        <v>Trading comps - EV/EBIT</v>
      </c>
      <c r="B7" s="5" t="n">
        <f aca="false">Football_Field!B6</f>
        <v>347.281475004259</v>
      </c>
      <c r="C7" s="5" t="n">
        <f aca="false">Football_Field!C6</f>
        <v>567.543111097652</v>
      </c>
      <c r="D7" s="50" t="n">
        <f aca="false">B7</f>
        <v>347.281475004259</v>
      </c>
      <c r="E7" s="50" t="n">
        <f aca="false">C7-B7</f>
        <v>220.261636093393</v>
      </c>
    </row>
    <row r="8" customFormat="false" ht="15" hidden="false" customHeight="false" outlineLevel="0" collapsed="false">
      <c r="A8" s="20" t="str">
        <f aca="false">Football_Field!A7</f>
        <v>Sum-of-the-parts</v>
      </c>
      <c r="B8" s="5" t="n">
        <f aca="false">Football_Field!B7</f>
        <v>414.941516017135</v>
      </c>
      <c r="C8" s="5" t="n">
        <f aca="false">Football_Field!C7</f>
        <v>484.438729720116</v>
      </c>
      <c r="D8" s="50" t="n">
        <f aca="false">B8</f>
        <v>414.941516017135</v>
      </c>
      <c r="E8" s="50" t="n">
        <f aca="false">C8-B8</f>
        <v>69.4972137029808</v>
      </c>
    </row>
    <row r="9" customFormat="false" ht="15" hidden="false" customHeight="false" outlineLevel="0" collapsed="false">
      <c r="A9" s="20" t="str">
        <f aca="false">Football_Field!A8</f>
        <v>Precedent transactions</v>
      </c>
      <c r="B9" s="5" t="n">
        <f aca="false">Football_Field!B8</f>
        <v>360.433807898852</v>
      </c>
      <c r="C9" s="5" t="n">
        <f aca="false">Football_Field!C8</f>
        <v>768.760747548277</v>
      </c>
      <c r="D9" s="50" t="n">
        <f aca="false">B9</f>
        <v>360.433807898852</v>
      </c>
      <c r="E9" s="50" t="n">
        <f aca="false">C9-B9</f>
        <v>408.326939649425</v>
      </c>
    </row>
    <row r="10" customFormat="false" ht="15" hidden="false" customHeight="false" outlineLevel="0" collapsed="false">
      <c r="A10" s="20" t="str">
        <f aca="false">Football_Field!A9</f>
        <v>52-week trading range</v>
      </c>
      <c r="B10" s="5" t="n">
        <f aca="false">Football_Field!B9</f>
        <v>375.65</v>
      </c>
      <c r="C10" s="5" t="n">
        <f aca="false">Football_Field!C9</f>
        <v>654.7</v>
      </c>
      <c r="D10" s="50" t="n">
        <f aca="false">B10</f>
        <v>375.65</v>
      </c>
      <c r="E10" s="50" t="n">
        <f aca="false">C10-B10</f>
        <v>279.05</v>
      </c>
    </row>
    <row r="11" customFormat="false" ht="15" hidden="false" customHeight="false" outlineLevel="0" collapsed="false">
      <c r="A11" s="20" t="str">
        <f aca="false">Football_Field!A10</f>
        <v>Analyst price targets</v>
      </c>
      <c r="B11" s="5" t="n">
        <f aca="false">Football_Field!B10</f>
        <v>415</v>
      </c>
      <c r="C11" s="5" t="n">
        <f aca="false">Football_Field!C10</f>
        <v>590</v>
      </c>
      <c r="D11" s="50" t="n">
        <f aca="false">B11</f>
        <v>415</v>
      </c>
      <c r="E11" s="50" t="n">
        <f aca="false">C11-B11</f>
        <v>175</v>
      </c>
    </row>
    <row r="14" customFormat="false" ht="15" hidden="false" customHeight="false" outlineLevel="0" collapsed="false">
      <c r="A14" s="8" t="s">
        <v>541</v>
      </c>
    </row>
    <row r="15" customFormat="false" ht="15" hidden="false" customHeight="false" outlineLevel="0" collapsed="false">
      <c r="A15" s="8" t="s">
        <v>542</v>
      </c>
      <c r="B15" s="8" t="s">
        <v>543</v>
      </c>
      <c r="C15" s="8" t="s">
        <v>544</v>
      </c>
    </row>
    <row r="16" customFormat="false" ht="15" hidden="false" customHeight="false" outlineLevel="0" collapsed="false">
      <c r="A16" s="2" t="s">
        <v>545</v>
      </c>
      <c r="B16" s="49" t="n">
        <v>0</v>
      </c>
      <c r="C16" s="16" t="n">
        <f aca="false">Bridge!B4</f>
        <v>247327.278411059</v>
      </c>
    </row>
    <row r="17" customFormat="false" ht="15" hidden="false" customHeight="false" outlineLevel="0" collapsed="false">
      <c r="A17" s="2" t="s">
        <v>546</v>
      </c>
      <c r="B17" s="16" t="n">
        <f aca="false">Bridge!B4+Bridge!B5</f>
        <v>242555.731636059</v>
      </c>
      <c r="C17" s="16" t="n">
        <f aca="false">-Bridge!B5</f>
        <v>4771.546775</v>
      </c>
    </row>
    <row r="18" customFormat="false" ht="15" hidden="false" customHeight="false" outlineLevel="0" collapsed="false">
      <c r="A18" s="2" t="s">
        <v>547</v>
      </c>
      <c r="B18" s="16" t="n">
        <f aca="false">B17+Bridge!B6</f>
        <v>236139.731636059</v>
      </c>
      <c r="C18" s="16" t="n">
        <f aca="false">-Bridge!B6</f>
        <v>6416</v>
      </c>
    </row>
    <row r="19" customFormat="false" ht="15" hidden="false" customHeight="false" outlineLevel="0" collapsed="false">
      <c r="A19" s="2" t="s">
        <v>548</v>
      </c>
      <c r="B19" s="16" t="n">
        <f aca="false">B18+Bridge!B7</f>
        <v>234540.731636059</v>
      </c>
      <c r="C19" s="16" t="n">
        <f aca="false">-Bridge!B7</f>
        <v>1599</v>
      </c>
    </row>
    <row r="20" customFormat="false" ht="15" hidden="false" customHeight="false" outlineLevel="0" collapsed="false">
      <c r="A20" s="2" t="s">
        <v>549</v>
      </c>
      <c r="B20" s="49" t="n">
        <f aca="false">B19</f>
        <v>234540.731636059</v>
      </c>
      <c r="C20" s="16" t="n">
        <f aca="false">Bridge!B8+Bridge!B9</f>
        <v>3192</v>
      </c>
    </row>
    <row r="21" customFormat="false" ht="15" hidden="false" customHeight="false" outlineLevel="0" collapsed="false">
      <c r="A21" s="2" t="s">
        <v>550</v>
      </c>
      <c r="B21" s="49" t="n">
        <v>0</v>
      </c>
      <c r="C21" s="16" t="n">
        <f aca="false">Bridge!B10</f>
        <v>237732.731636059</v>
      </c>
    </row>
    <row r="23" customFormat="false" ht="15" hidden="false" customHeight="false" outlineLevel="0" collapsed="false">
      <c r="A23" s="8" t="s">
        <v>551</v>
      </c>
    </row>
    <row r="24" customFormat="false" ht="15" hidden="false" customHeight="false" outlineLevel="0" collapsed="false">
      <c r="A24" s="8" t="s">
        <v>542</v>
      </c>
      <c r="B24" s="8" t="s">
        <v>543</v>
      </c>
      <c r="C24" s="8" t="s">
        <v>544</v>
      </c>
    </row>
    <row r="25" customFormat="false" ht="15" hidden="false" customHeight="false" outlineLevel="0" collapsed="false">
      <c r="A25" s="2" t="s">
        <v>552</v>
      </c>
      <c r="B25" s="51" t="n">
        <v>0</v>
      </c>
      <c r="C25" s="19" t="n">
        <f aca="false">WACC!B5</f>
        <v>0.0337</v>
      </c>
    </row>
    <row r="26" customFormat="false" ht="15" hidden="false" customHeight="false" outlineLevel="0" collapsed="false">
      <c r="A26" s="2" t="s">
        <v>553</v>
      </c>
      <c r="B26" s="51" t="n">
        <f aca="false">C25</f>
        <v>0.0337</v>
      </c>
      <c r="C26" s="19" t="n">
        <f aca="false">WACC!B7*WACC!B6</f>
        <v>0.049841</v>
      </c>
    </row>
    <row r="27" customFormat="false" ht="15" hidden="false" customHeight="false" outlineLevel="0" collapsed="false">
      <c r="A27" s="2" t="s">
        <v>323</v>
      </c>
      <c r="B27" s="51" t="n">
        <v>0</v>
      </c>
      <c r="C27" s="19" t="n">
        <f aca="false">WACC!B8</f>
        <v>0.083541</v>
      </c>
    </row>
    <row r="28" customFormat="false" ht="15" hidden="false" customHeight="false" outlineLevel="0" collapsed="false">
      <c r="A28" s="2" t="s">
        <v>36</v>
      </c>
      <c r="B28" s="51" t="n">
        <v>0</v>
      </c>
      <c r="C28" s="19" t="n">
        <f aca="false">WACC!B21</f>
        <v>0.081116802528001</v>
      </c>
    </row>
    <row r="30" customFormat="false" ht="15" hidden="false" customHeight="false" outlineLevel="0" collapsed="false">
      <c r="A30" s="8" t="s">
        <v>554</v>
      </c>
    </row>
    <row r="31" customFormat="false" ht="15" hidden="false" customHeight="false" outlineLevel="0" collapsed="false">
      <c r="A31" s="8" t="s">
        <v>538</v>
      </c>
      <c r="B31" s="8" t="s">
        <v>555</v>
      </c>
    </row>
    <row r="32" customFormat="false" ht="15" hidden="false" customHeight="false" outlineLevel="0" collapsed="false">
      <c r="A32" s="2" t="s">
        <v>556</v>
      </c>
      <c r="B32" s="5" t="n">
        <f aca="false">Bridge!B12</f>
        <v>480.308898201582</v>
      </c>
    </row>
    <row r="33" customFormat="false" ht="15" hidden="false" customHeight="false" outlineLevel="0" collapsed="false">
      <c r="A33" s="2" t="s">
        <v>557</v>
      </c>
      <c r="B33" s="5" t="n">
        <f aca="false">Bridge!C12</f>
        <v>523.024256281744</v>
      </c>
    </row>
    <row r="34" customFormat="false" ht="15" hidden="false" customHeight="false" outlineLevel="0" collapsed="false">
      <c r="A34" s="2" t="s">
        <v>558</v>
      </c>
      <c r="B34" s="5" t="n">
        <f aca="false">Trading_Comps!B27</f>
        <v>545.349145423444</v>
      </c>
    </row>
    <row r="35" customFormat="false" ht="15" hidden="false" customHeight="false" outlineLevel="0" collapsed="false">
      <c r="A35" s="2" t="s">
        <v>24</v>
      </c>
      <c r="B35" s="5" t="n">
        <f aca="false">Trading_Comps!G42</f>
        <v>449.690122868626</v>
      </c>
    </row>
    <row r="36" customFormat="false" ht="15" hidden="false" customHeight="false" outlineLevel="0" collapsed="false">
      <c r="A36" s="2" t="s">
        <v>559</v>
      </c>
      <c r="B36" s="5" t="n">
        <f aca="false">Precedent_Transactions!B31</f>
        <v>644.1135764974</v>
      </c>
    </row>
    <row r="37" customFormat="false" ht="15" hidden="false" customHeight="false" outlineLevel="0" collapsed="false">
      <c r="A37" s="2" t="s">
        <v>560</v>
      </c>
      <c r="B37" s="5" t="n">
        <f aca="false">Cover!B16</f>
        <v>504.84186809946</v>
      </c>
    </row>
    <row r="38" customFormat="false" ht="15" hidden="false" customHeight="false" outlineLevel="0" collapsed="false">
      <c r="A38" s="2" t="s">
        <v>561</v>
      </c>
      <c r="B38" s="5" t="n">
        <f aca="false">WACC!B14</f>
        <v>388.1</v>
      </c>
    </row>
    <row r="40" customFormat="false" ht="15" hidden="false" customHeight="false" outlineLevel="0" collapsed="false">
      <c r="A40" s="8" t="s">
        <v>562</v>
      </c>
    </row>
    <row r="41" customFormat="false" ht="15" hidden="false" customHeight="false" outlineLevel="0" collapsed="false">
      <c r="A41" s="8" t="s">
        <v>563</v>
      </c>
      <c r="B41" s="8" t="s">
        <v>194</v>
      </c>
      <c r="C41" s="8" t="s">
        <v>195</v>
      </c>
      <c r="D41" s="8" t="s">
        <v>196</v>
      </c>
      <c r="E41" s="8" t="s">
        <v>127</v>
      </c>
      <c r="F41" s="8" t="s">
        <v>128</v>
      </c>
      <c r="G41" s="8" t="s">
        <v>129</v>
      </c>
      <c r="H41" s="8" t="s">
        <v>130</v>
      </c>
      <c r="I41" s="8" t="s">
        <v>131</v>
      </c>
      <c r="J41" s="8" t="s">
        <v>132</v>
      </c>
    </row>
    <row r="42" customFormat="false" ht="15" hidden="false" customHeight="false" outlineLevel="0" collapsed="false">
      <c r="A42" s="2" t="s">
        <v>261</v>
      </c>
      <c r="B42" s="16" t="n">
        <f aca="false">Income_Statement!B46</f>
        <v>6602</v>
      </c>
      <c r="C42" s="16" t="n">
        <f aca="false">Income_Statement!C46</f>
        <v>5862</v>
      </c>
      <c r="D42" s="16" t="n">
        <f aca="false">Income_Statement!D46</f>
        <v>5358</v>
      </c>
      <c r="E42" s="16" t="n">
        <f aca="false">DCF!C5</f>
        <v>5540.05</v>
      </c>
      <c r="F42" s="16" t="n">
        <f aca="false">DCF!D5</f>
        <v>5706.2515</v>
      </c>
      <c r="G42" s="16" t="n">
        <f aca="false">DCF!E5</f>
        <v>5934.50156</v>
      </c>
      <c r="H42" s="16" t="n">
        <f aca="false">DCF!F5</f>
        <v>6171.8816224</v>
      </c>
      <c r="I42" s="16" t="n">
        <f aca="false">DCF!G5</f>
        <v>6418.756887296</v>
      </c>
      <c r="J42" s="16" t="n">
        <f aca="false">DCF!H5</f>
        <v>6675.50716278784</v>
      </c>
    </row>
    <row r="43" customFormat="false" ht="15" hidden="false" customHeight="false" outlineLevel="0" collapsed="false">
      <c r="A43" s="2" t="s">
        <v>262</v>
      </c>
      <c r="B43" s="16" t="n">
        <f aca="false">Income_Statement!B47</f>
        <v>42169</v>
      </c>
      <c r="C43" s="16" t="n">
        <f aca="false">Income_Statement!C47</f>
        <v>41060</v>
      </c>
      <c r="D43" s="16" t="n">
        <f aca="false">Income_Statement!D47</f>
        <v>37770</v>
      </c>
      <c r="E43" s="16" t="n">
        <f aca="false">DCF!C6</f>
        <v>36143.64</v>
      </c>
      <c r="F43" s="16" t="n">
        <f aca="false">DCF!D6</f>
        <v>36505.0764</v>
      </c>
      <c r="G43" s="16" t="n">
        <f aca="false">DCF!E6</f>
        <v>38330.33022</v>
      </c>
      <c r="H43" s="16" t="n">
        <f aca="false">DCF!F6</f>
        <v>40630.1500332</v>
      </c>
      <c r="I43" s="16" t="n">
        <f aca="false">DCF!G6</f>
        <v>43067.959035192</v>
      </c>
      <c r="J43" s="16" t="n">
        <f aca="false">DCF!H6</f>
        <v>45221.3569869516</v>
      </c>
    </row>
    <row r="44" customFormat="false" ht="15" hidden="false" customHeight="false" outlineLevel="0" collapsed="false">
      <c r="A44" s="2" t="s">
        <v>263</v>
      </c>
      <c r="B44" s="16" t="n">
        <f aca="false">Income_Statement!B48</f>
        <v>8271</v>
      </c>
      <c r="C44" s="16" t="n">
        <f aca="false">Income_Statement!C48</f>
        <v>8418</v>
      </c>
      <c r="D44" s="16" t="n">
        <f aca="false">Income_Statement!D48</f>
        <v>8174</v>
      </c>
      <c r="E44" s="16" t="n">
        <f aca="false">DCF!C7</f>
        <v>8098.68</v>
      </c>
      <c r="F44" s="16" t="n">
        <f aca="false">DCF!D7</f>
        <v>8341.6404</v>
      </c>
      <c r="G44" s="16" t="n">
        <f aca="false">DCF!E7</f>
        <v>8675.306016</v>
      </c>
      <c r="H44" s="16" t="n">
        <f aca="false">DCF!F7</f>
        <v>9022.31825664</v>
      </c>
      <c r="I44" s="16" t="n">
        <f aca="false">DCF!G7</f>
        <v>9383.2109869056</v>
      </c>
      <c r="J44" s="16" t="n">
        <f aca="false">DCF!H7</f>
        <v>9758.53942638183</v>
      </c>
    </row>
    <row r="45" customFormat="false" ht="15" hidden="false" customHeight="false" outlineLevel="0" collapsed="false">
      <c r="A45" s="2" t="s">
        <v>264</v>
      </c>
      <c r="B45" s="16" t="n">
        <f aca="false">Income_Statement!B49</f>
        <v>10902</v>
      </c>
      <c r="C45" s="16" t="n">
        <f aca="false">Income_Statement!C49</f>
        <v>10577</v>
      </c>
      <c r="D45" s="16" t="n">
        <f aca="false">Income_Statement!D49</f>
        <v>10486</v>
      </c>
      <c r="E45" s="16" t="n">
        <f aca="false">DCF!C8</f>
        <v>11017.39</v>
      </c>
      <c r="F45" s="16" t="n">
        <f aca="false">DCF!D8</f>
        <v>11678.4334</v>
      </c>
      <c r="G45" s="16" t="n">
        <f aca="false">DCF!E8</f>
        <v>12379.139404</v>
      </c>
      <c r="H45" s="16" t="n">
        <f aca="false">DCF!F8</f>
        <v>13121.88776824</v>
      </c>
      <c r="I45" s="16" t="n">
        <f aca="false">DCF!G8</f>
        <v>13777.982156652</v>
      </c>
      <c r="J45" s="16" t="n">
        <f aca="false">DCF!H8</f>
        <v>14466.8812644846</v>
      </c>
    </row>
    <row r="46" customFormat="false" ht="15" hidden="false" customHeight="false" outlineLevel="0" collapsed="false">
      <c r="A46" s="2" t="s">
        <v>265</v>
      </c>
      <c r="B46" s="16" t="n">
        <f aca="false">Income_Statement!B50</f>
        <v>17885</v>
      </c>
      <c r="C46" s="16" t="n">
        <f aca="false">Income_Statement!C50</f>
        <v>18262</v>
      </c>
      <c r="D46" s="16" t="n">
        <f aca="false">Income_Statement!D50</f>
        <v>18348</v>
      </c>
      <c r="E46" s="16" t="n">
        <f aca="false">DCF!C9</f>
        <v>18325.7</v>
      </c>
      <c r="F46" s="16" t="n">
        <f aca="false">DCF!D9</f>
        <v>18692.214</v>
      </c>
      <c r="G46" s="16" t="n">
        <f aca="false">DCF!E9</f>
        <v>19626.8247</v>
      </c>
      <c r="H46" s="16" t="n">
        <f aca="false">DCF!F9</f>
        <v>20608.165935</v>
      </c>
      <c r="I46" s="16" t="n">
        <f aca="false">DCF!G9</f>
        <v>21638.57423175</v>
      </c>
      <c r="J46" s="16" t="n">
        <f aca="false">DCF!H9</f>
        <v>22504.11720102</v>
      </c>
    </row>
    <row r="47" customFormat="false" ht="15" hidden="false" customHeight="false" outlineLevel="0" collapsed="false">
      <c r="A47" s="2" t="s">
        <v>266</v>
      </c>
      <c r="B47" s="16" t="n">
        <f aca="false">Income_Statement!B51</f>
        <v>324</v>
      </c>
      <c r="C47" s="16" t="n">
        <f aca="false">Income_Statement!C51</f>
        <v>504</v>
      </c>
      <c r="D47" s="16" t="n">
        <f aca="false">Income_Statement!D51</f>
        <v>671</v>
      </c>
      <c r="E47" s="16" t="n">
        <f aca="false">DCF!C10</f>
        <v>778</v>
      </c>
      <c r="F47" s="16" t="n">
        <f aca="false">DCF!D10</f>
        <v>778</v>
      </c>
      <c r="G47" s="16" t="n">
        <f aca="false">DCF!E10</f>
        <v>778</v>
      </c>
      <c r="H47" s="16" t="n">
        <f aca="false">DCF!F10</f>
        <v>778</v>
      </c>
      <c r="I47" s="16" t="n">
        <f aca="false">DCF!G10</f>
        <v>778</v>
      </c>
      <c r="J47" s="16" t="n">
        <f aca="false">DCF!H10</f>
        <v>778</v>
      </c>
    </row>
    <row r="49" customFormat="false" ht="15" hidden="false" customHeight="false" outlineLevel="0" collapsed="false">
      <c r="A49" s="8" t="s">
        <v>564</v>
      </c>
    </row>
    <row r="50" customFormat="false" ht="15" hidden="false" customHeight="false" outlineLevel="0" collapsed="false">
      <c r="A50" s="8" t="s">
        <v>563</v>
      </c>
      <c r="B50" s="8" t="s">
        <v>194</v>
      </c>
      <c r="C50" s="8" t="s">
        <v>195</v>
      </c>
      <c r="D50" s="8" t="s">
        <v>196</v>
      </c>
      <c r="E50" s="8" t="s">
        <v>127</v>
      </c>
      <c r="F50" s="8" t="s">
        <v>128</v>
      </c>
      <c r="G50" s="8" t="s">
        <v>129</v>
      </c>
      <c r="H50" s="8" t="s">
        <v>130</v>
      </c>
      <c r="I50" s="8" t="s">
        <v>131</v>
      </c>
      <c r="J50" s="8" t="s">
        <v>132</v>
      </c>
    </row>
    <row r="51" customFormat="false" ht="15" hidden="false" customHeight="false" outlineLevel="0" collapsed="false">
      <c r="A51" s="2" t="s">
        <v>261</v>
      </c>
      <c r="B51" s="16" t="n">
        <f aca="false">Income_Statement!B57</f>
        <v>2109</v>
      </c>
      <c r="C51" s="16" t="n">
        <f aca="false">Income_Statement!C57</f>
        <v>1356</v>
      </c>
      <c r="D51" s="16" t="n">
        <f aca="false">Income_Statement!D57</f>
        <v>1016</v>
      </c>
      <c r="E51" s="16" t="n">
        <f aca="false">DCF!C15</f>
        <v>1135.71025</v>
      </c>
      <c r="F51" s="16" t="n">
        <f aca="false">DCF!D15</f>
        <v>1198.312815</v>
      </c>
      <c r="G51" s="16" t="n">
        <f aca="false">DCF!E15</f>
        <v>1305.5903432</v>
      </c>
      <c r="H51" s="16" t="n">
        <f aca="false">DCF!F15</f>
        <v>1419.532773152</v>
      </c>
      <c r="I51" s="16" t="n">
        <f aca="false">DCF!G15</f>
        <v>1540.50165295104</v>
      </c>
      <c r="J51" s="16" t="n">
        <f aca="false">DCF!H15</f>
        <v>1602.12171906908</v>
      </c>
    </row>
    <row r="52" customFormat="false" ht="15" hidden="false" customHeight="false" outlineLevel="0" collapsed="false">
      <c r="A52" s="2" t="s">
        <v>262</v>
      </c>
      <c r="B52" s="16" t="n">
        <f aca="false">Income_Statement!B58</f>
        <v>16836</v>
      </c>
      <c r="C52" s="16" t="n">
        <f aca="false">Income_Statement!C58</f>
        <v>15230</v>
      </c>
      <c r="D52" s="16" t="n">
        <f aca="false">Income_Statement!D58</f>
        <v>13209</v>
      </c>
      <c r="E52" s="16" t="n">
        <f aca="false">DCF!C16</f>
        <v>12288.8376</v>
      </c>
      <c r="F52" s="16" t="n">
        <f aca="false">DCF!D16</f>
        <v>12411.725976</v>
      </c>
      <c r="G52" s="16" t="n">
        <f aca="false">DCF!E16</f>
        <v>13415.615577</v>
      </c>
      <c r="H52" s="16" t="n">
        <f aca="false">DCF!F16</f>
        <v>14626.854011952</v>
      </c>
      <c r="I52" s="16" t="n">
        <f aca="false">DCF!G16</f>
        <v>15719.8050478451</v>
      </c>
      <c r="J52" s="16" t="n">
        <f aca="false">DCF!H16</f>
        <v>16505.7953002373</v>
      </c>
    </row>
    <row r="53" customFormat="false" ht="15" hidden="false" customHeight="false" outlineLevel="0" collapsed="false">
      <c r="A53" s="2" t="s">
        <v>263</v>
      </c>
      <c r="B53" s="16" t="n">
        <f aca="false">Income_Statement!B59</f>
        <v>713</v>
      </c>
      <c r="C53" s="16" t="n">
        <f aca="false">Income_Statement!C59</f>
        <v>671</v>
      </c>
      <c r="D53" s="16" t="n">
        <f aca="false">Income_Statement!D59</f>
        <v>727</v>
      </c>
      <c r="E53" s="16" t="n">
        <f aca="false">DCF!C17</f>
        <v>769.3746</v>
      </c>
      <c r="F53" s="16" t="n">
        <f aca="false">DCF!D17</f>
        <v>792.455838</v>
      </c>
      <c r="G53" s="16" t="n">
        <f aca="false">DCF!E17</f>
        <v>867.5306016</v>
      </c>
      <c r="H53" s="16" t="n">
        <f aca="false">DCF!F17</f>
        <v>947.3434169472</v>
      </c>
      <c r="I53" s="16" t="n">
        <f aca="false">DCF!G17</f>
        <v>1032.15320855962</v>
      </c>
      <c r="J53" s="16" t="n">
        <f aca="false">DCF!H17</f>
        <v>1073.439336902</v>
      </c>
    </row>
    <row r="54" customFormat="false" ht="15" hidden="false" customHeight="false" outlineLevel="0" collapsed="false">
      <c r="A54" s="2" t="s">
        <v>264</v>
      </c>
      <c r="B54" s="16" t="n">
        <f aca="false">Income_Statement!B60</f>
        <v>2162</v>
      </c>
      <c r="C54" s="16" t="n">
        <f aca="false">Income_Statement!C60</f>
        <v>1546</v>
      </c>
      <c r="D54" s="16" t="n">
        <f aca="false">Income_Statement!D60</f>
        <v>1514</v>
      </c>
      <c r="E54" s="16" t="n">
        <f aca="false">DCF!C18</f>
        <v>1652.6085</v>
      </c>
      <c r="F54" s="16" t="n">
        <f aca="false">DCF!D18</f>
        <v>1810.157177</v>
      </c>
      <c r="G54" s="16" t="n">
        <f aca="false">DCF!E18</f>
        <v>2042.55800166</v>
      </c>
      <c r="H54" s="16" t="n">
        <f aca="false">DCF!F18</f>
        <v>2296.330359442</v>
      </c>
      <c r="I54" s="16" t="n">
        <f aca="false">DCF!G18</f>
        <v>2480.03678819736</v>
      </c>
      <c r="J54" s="16" t="n">
        <f aca="false">DCF!H18</f>
        <v>2604.03862760723</v>
      </c>
    </row>
    <row r="55" customFormat="false" ht="15" hidden="false" customHeight="false" outlineLevel="0" collapsed="false">
      <c r="A55" s="2" t="s">
        <v>265</v>
      </c>
      <c r="B55" s="16" t="n">
        <f aca="false">Income_Statement!B61</f>
        <v>1391</v>
      </c>
      <c r="C55" s="16" t="n">
        <f aca="false">Income_Statement!C61</f>
        <v>1385</v>
      </c>
      <c r="D55" s="16" t="n">
        <f aca="false">Income_Statement!D61</f>
        <v>1780</v>
      </c>
      <c r="E55" s="16" t="n">
        <f aca="false">DCF!C19</f>
        <v>1832.57</v>
      </c>
      <c r="F55" s="16" t="n">
        <f aca="false">DCF!D19</f>
        <v>1869.2214</v>
      </c>
      <c r="G55" s="16" t="n">
        <f aca="false">DCF!E19</f>
        <v>2060.8165935</v>
      </c>
      <c r="H55" s="16" t="n">
        <f aca="false">DCF!F19</f>
        <v>2163.857423175</v>
      </c>
      <c r="I55" s="16" t="n">
        <f aca="false">DCF!G19</f>
        <v>2380.2431654925</v>
      </c>
      <c r="J55" s="16" t="n">
        <f aca="false">DCF!H19</f>
        <v>2475.4528921122</v>
      </c>
    </row>
    <row r="56" customFormat="false" ht="15" hidden="false" customHeight="false" outlineLevel="0" collapsed="false">
      <c r="A56" s="2" t="s">
        <v>266</v>
      </c>
      <c r="B56" s="16" t="n">
        <f aca="false">Income_Statement!B62</f>
        <v>-409</v>
      </c>
      <c r="C56" s="16" t="n">
        <f aca="false">Income_Statement!C62</f>
        <v>-617</v>
      </c>
      <c r="D56" s="16" t="n">
        <f aca="false">Income_Statement!D62</f>
        <v>-491</v>
      </c>
      <c r="E56" s="16" t="n">
        <f aca="false">DCF!C20</f>
        <v>-480</v>
      </c>
      <c r="F56" s="16" t="n">
        <f aca="false">DCF!D20</f>
        <v>-480</v>
      </c>
      <c r="G56" s="16" t="n">
        <f aca="false">DCF!E20</f>
        <v>-490</v>
      </c>
      <c r="H56" s="16" t="n">
        <f aca="false">DCF!F20</f>
        <v>-500</v>
      </c>
      <c r="I56" s="16" t="n">
        <f aca="false">DCF!G20</f>
        <v>-510</v>
      </c>
      <c r="J56" s="16" t="n">
        <f aca="false">DCF!H20</f>
        <v>-520</v>
      </c>
    </row>
    <row r="58" customFormat="false" ht="15" hidden="false" customHeight="false" outlineLevel="0" collapsed="false">
      <c r="A58" s="8" t="s">
        <v>565</v>
      </c>
    </row>
    <row r="59" customFormat="false" ht="15" hidden="false" customHeight="false" outlineLevel="0" collapsed="false">
      <c r="A59" s="8" t="s">
        <v>251</v>
      </c>
      <c r="B59" s="8" t="s">
        <v>545</v>
      </c>
      <c r="C59" s="8" t="s">
        <v>566</v>
      </c>
    </row>
    <row r="60" customFormat="false" ht="15" hidden="false" customHeight="false" outlineLevel="0" collapsed="false">
      <c r="A60" s="2" t="s">
        <v>261</v>
      </c>
      <c r="B60" s="16" t="n">
        <f aca="false">Trading_Comps!G33</f>
        <v>13638.9575309038</v>
      </c>
      <c r="C60" s="18" t="n">
        <f aca="false">Trading_Comps!F33</f>
        <v>12.0091876699218</v>
      </c>
    </row>
    <row r="61" customFormat="false" ht="15" hidden="false" customHeight="false" outlineLevel="0" collapsed="false">
      <c r="A61" s="2" t="s">
        <v>262</v>
      </c>
      <c r="B61" s="16" t="n">
        <f aca="false">Trading_Comps!G34</f>
        <v>167176.463574813</v>
      </c>
      <c r="C61" s="18" t="n">
        <f aca="false">Trading_Comps!F34</f>
        <v>13.6039281351406</v>
      </c>
    </row>
    <row r="62" customFormat="false" ht="15" hidden="false" customHeight="false" outlineLevel="0" collapsed="false">
      <c r="A62" s="2" t="s">
        <v>263</v>
      </c>
      <c r="B62" s="16" t="n">
        <f aca="false">Trading_Comps!G35</f>
        <v>13822.050630544</v>
      </c>
      <c r="C62" s="18" t="n">
        <f aca="false">Trading_Comps!F35</f>
        <v>17.9653066666667</v>
      </c>
    </row>
    <row r="63" customFormat="false" ht="15" hidden="false" customHeight="false" outlineLevel="0" collapsed="false">
      <c r="A63" s="2" t="s">
        <v>264</v>
      </c>
      <c r="B63" s="16" t="n">
        <f aca="false">Trading_Comps!G36</f>
        <v>24010.3227513066</v>
      </c>
      <c r="C63" s="18" t="n">
        <f aca="false">Trading_Comps!F36</f>
        <v>14.5287421378424</v>
      </c>
    </row>
    <row r="64" customFormat="false" ht="15" hidden="false" customHeight="false" outlineLevel="0" collapsed="false">
      <c r="A64" s="2" t="s">
        <v>265</v>
      </c>
      <c r="B64" s="16" t="n">
        <f aca="false">Trading_Comps!G37</f>
        <v>23574.432838298</v>
      </c>
      <c r="C64" s="18" t="n">
        <f aca="false">Trading_Comps!F37</f>
        <v>12.8641377073171</v>
      </c>
    </row>
    <row r="65" customFormat="false" ht="15" hidden="false" customHeight="false" outlineLevel="0" collapsed="false">
      <c r="A65" s="2" t="s">
        <v>266</v>
      </c>
      <c r="B65" s="16" t="n">
        <f aca="false">Trading_Comps!G38</f>
        <v>-6576.50349105651</v>
      </c>
      <c r="C65" s="18" t="n">
        <f aca="false">Trading_Comps!F38</f>
        <v>13.7010489397011</v>
      </c>
    </row>
    <row r="67" customFormat="false" ht="15" hidden="false" customHeight="false" outlineLevel="0" collapsed="false">
      <c r="A67" s="8" t="s">
        <v>567</v>
      </c>
    </row>
    <row r="68" customFormat="false" ht="15" hidden="false" customHeight="false" outlineLevel="0" collapsed="false">
      <c r="A68" s="8" t="s">
        <v>1</v>
      </c>
      <c r="B68" s="8" t="s">
        <v>384</v>
      </c>
      <c r="C68" s="8" t="s">
        <v>386</v>
      </c>
    </row>
    <row r="69" customFormat="false" ht="15" hidden="false" customHeight="false" outlineLevel="0" collapsed="false">
      <c r="A69" s="20" t="str">
        <f aca="false">Trading_Comps!A4</f>
        <v>Hermes</v>
      </c>
      <c r="B69" s="18" t="n">
        <f aca="false">Trading_Comps!M4</f>
        <v>17.9928824579676</v>
      </c>
      <c r="C69" s="18" t="n">
        <f aca="false">Trading_Comps!O4</f>
        <v>28.8651042746114</v>
      </c>
    </row>
    <row r="70" customFormat="false" ht="15" hidden="false" customHeight="false" outlineLevel="0" collapsed="false">
      <c r="A70" s="20" t="str">
        <f aca="false">Trading_Comps!A5</f>
        <v>Richemont</v>
      </c>
      <c r="B70" s="18" t="n">
        <f aca="false">Trading_Comps!M5</f>
        <v>17.0926378092264</v>
      </c>
      <c r="C70" s="18" t="n">
        <f aca="false">Trading_Comps!O5</f>
        <v>23.2778426437646</v>
      </c>
    </row>
    <row r="71" customFormat="false" ht="15" hidden="false" customHeight="false" outlineLevel="0" collapsed="false">
      <c r="A71" s="20" t="str">
        <f aca="false">Trading_Comps!A6</f>
        <v>Kering</v>
      </c>
      <c r="B71" s="18" t="n">
        <f aca="false">Trading_Comps!M6</f>
        <v>16.4539369321219</v>
      </c>
      <c r="C71" s="18" t="n">
        <f aca="false">Trading_Comps!O6</f>
        <v>34.0964643962848</v>
      </c>
    </row>
    <row r="72" customFormat="false" ht="15" hidden="false" customHeight="false" outlineLevel="0" collapsed="false">
      <c r="A72" s="20" t="str">
        <f aca="false">Trading_Comps!A7</f>
        <v>Prada</v>
      </c>
      <c r="B72" s="18" t="n">
        <f aca="false">Trading_Comps!M7</f>
        <v>10.3125745026383</v>
      </c>
      <c r="C72" s="18" t="n">
        <f aca="false">Trading_Comps!O7</f>
        <v>15.275260427506</v>
      </c>
    </row>
    <row r="73" customFormat="false" ht="15" hidden="false" customHeight="false" outlineLevel="0" collapsed="false">
      <c r="A73" s="20" t="str">
        <f aca="false">Trading_Comps!A8</f>
        <v>Moncler</v>
      </c>
      <c r="B73" s="18" t="n">
        <f aca="false">Trading_Comps!M8</f>
        <v>10.7539193381593</v>
      </c>
      <c r="C73" s="18" t="n">
        <f aca="false">Trading_Comps!O8</f>
        <v>17.6549693251534</v>
      </c>
    </row>
    <row r="74" customFormat="false" ht="15" hidden="false" customHeight="false" outlineLevel="0" collapsed="false">
      <c r="A74" s="20" t="str">
        <f aca="false">Trading_Comps!A13</f>
        <v>LVMH (self)</v>
      </c>
      <c r="B74" s="18" t="n">
        <f aca="false">Trading_Comps!M13</f>
        <v>11.9286002446541</v>
      </c>
      <c r="C74" s="18" t="n">
        <f aca="false">Trading_Comps!O13</f>
        <v>17.4323203783435</v>
      </c>
    </row>
    <row r="76" customFormat="false" ht="15" hidden="false" customHeight="false" outlineLevel="0" collapsed="false">
      <c r="A76" s="8" t="s">
        <v>568</v>
      </c>
    </row>
    <row r="77" customFormat="false" ht="15" hidden="false" customHeight="false" outlineLevel="0" collapsed="false">
      <c r="A77" s="8" t="s">
        <v>566</v>
      </c>
      <c r="B77" s="8" t="s">
        <v>477</v>
      </c>
      <c r="C77" s="8" t="s">
        <v>569</v>
      </c>
    </row>
    <row r="78" customFormat="false" ht="15" hidden="false" customHeight="false" outlineLevel="0" collapsed="false">
      <c r="A78" s="2" t="s">
        <v>384</v>
      </c>
      <c r="B78" s="18" t="n">
        <f aca="false">Trading_Comps!M13</f>
        <v>11.9286002446541</v>
      </c>
      <c r="C78" s="18" t="n">
        <f aca="false">Trading_Comps!M15</f>
        <v>16.4539369321219</v>
      </c>
    </row>
    <row r="79" customFormat="false" ht="15" hidden="false" customHeight="false" outlineLevel="0" collapsed="false">
      <c r="A79" s="2" t="s">
        <v>385</v>
      </c>
      <c r="B79" s="18" t="n">
        <f aca="false">Trading_Comps!N13</f>
        <v>2.56761346504895</v>
      </c>
      <c r="C79" s="18" t="n">
        <f aca="false">Trading_Comps!N15</f>
        <v>3.16754188242461</v>
      </c>
    </row>
    <row r="80" customFormat="false" ht="15" hidden="false" customHeight="false" outlineLevel="0" collapsed="false">
      <c r="A80" s="2" t="s">
        <v>386</v>
      </c>
      <c r="B80" s="18" t="n">
        <f aca="false">Trading_Comps!O13</f>
        <v>17.4323203783435</v>
      </c>
      <c r="C80" s="18" t="n">
        <f aca="false">Trading_Comps!O15</f>
        <v>23.2778426437646</v>
      </c>
    </row>
    <row r="82" customFormat="false" ht="15" hidden="false" customHeight="false" outlineLevel="0" collapsed="false">
      <c r="A82" s="8" t="s">
        <v>570</v>
      </c>
    </row>
    <row r="83" customFormat="false" ht="15" hidden="false" customHeight="false" outlineLevel="0" collapsed="false">
      <c r="A83" s="8" t="s">
        <v>304</v>
      </c>
      <c r="B83" s="8" t="s">
        <v>571</v>
      </c>
      <c r="C83" s="8" t="s">
        <v>572</v>
      </c>
    </row>
    <row r="84" customFormat="false" ht="15" hidden="false" customHeight="false" outlineLevel="0" collapsed="false">
      <c r="A84" s="2" t="s">
        <v>127</v>
      </c>
      <c r="B84" s="16" t="n">
        <f aca="false">DCF!C75</f>
        <v>4771.546775</v>
      </c>
      <c r="C84" s="103" t="n">
        <f aca="false">DCF!C77</f>
        <v>0.224288191408854</v>
      </c>
    </row>
    <row r="85" customFormat="false" ht="15" hidden="false" customHeight="false" outlineLevel="0" collapsed="false">
      <c r="A85" s="2" t="s">
        <v>128</v>
      </c>
      <c r="B85" s="16" t="n">
        <f aca="false">DCF!D75</f>
        <v>1332.15757012</v>
      </c>
      <c r="C85" s="103" t="n">
        <f aca="false">DCF!D77</f>
        <v>0.0611961342118889</v>
      </c>
    </row>
    <row r="86" customFormat="false" ht="15" hidden="false" customHeight="false" outlineLevel="0" collapsed="false">
      <c r="A86" s="2" t="s">
        <v>129</v>
      </c>
      <c r="B86" s="16" t="n">
        <f aca="false">DCF!E75</f>
        <v>-2796.1408129608</v>
      </c>
      <c r="C86" s="103" t="n">
        <f aca="false">DCF!E77</f>
        <v>-0.118611013459447</v>
      </c>
    </row>
    <row r="87" customFormat="false" ht="15" hidden="false" customHeight="false" outlineLevel="0" collapsed="false">
      <c r="A87" s="2" t="s">
        <v>130</v>
      </c>
      <c r="B87" s="16" t="n">
        <f aca="false">DCF!F75</f>
        <v>-7877.43808030542</v>
      </c>
      <c r="C87" s="103" t="n">
        <f aca="false">DCF!F77</f>
        <v>-0.308183481428107</v>
      </c>
    </row>
    <row r="88" customFormat="false" ht="15" hidden="false" customHeight="false" outlineLevel="0" collapsed="false">
      <c r="A88" s="2" t="s">
        <v>131</v>
      </c>
      <c r="B88" s="16" t="n">
        <f aca="false">DCF!G75</f>
        <v>-13863.6509642662</v>
      </c>
      <c r="C88" s="103" t="n">
        <f aca="false">DCF!G77</f>
        <v>-0.504297282242508</v>
      </c>
    </row>
    <row r="89" customFormat="false" ht="15" hidden="false" customHeight="false" outlineLevel="0" collapsed="false">
      <c r="A89" s="2" t="s">
        <v>132</v>
      </c>
      <c r="B89" s="16" t="n">
        <f aca="false">DCF!H75</f>
        <v>-20330.2250789859</v>
      </c>
      <c r="C89" s="103" t="n">
        <f aca="false">DCF!H77</f>
        <v>-0.70565400007336</v>
      </c>
    </row>
    <row r="91" customFormat="false" ht="15" hidden="false" customHeight="false" outlineLevel="0" collapsed="false">
      <c r="A91" s="8" t="s">
        <v>573</v>
      </c>
    </row>
    <row r="92" customFormat="false" ht="15" hidden="false" customHeight="false" outlineLevel="0" collapsed="false">
      <c r="A92" s="8" t="s">
        <v>304</v>
      </c>
      <c r="B92" s="8" t="s">
        <v>199</v>
      </c>
      <c r="C92" s="8" t="s">
        <v>305</v>
      </c>
      <c r="D92" s="8" t="s">
        <v>306</v>
      </c>
    </row>
    <row r="93" customFormat="false" ht="15" hidden="false" customHeight="false" outlineLevel="0" collapsed="false">
      <c r="A93" s="20" t="str">
        <f aca="false">DCF!B63</f>
        <v>FY23A</v>
      </c>
      <c r="B93" s="16" t="n">
        <f aca="false">DCF!B64</f>
        <v>86153</v>
      </c>
      <c r="C93" s="16" t="n">
        <f aca="false">DCF!B65</f>
        <v>22802</v>
      </c>
      <c r="D93" s="19" t="n">
        <f aca="false">DCF!B66</f>
        <v>0.264668670853017</v>
      </c>
    </row>
    <row r="94" customFormat="false" ht="15" hidden="false" customHeight="false" outlineLevel="0" collapsed="false">
      <c r="A94" s="20" t="str">
        <f aca="false">DCF!C63</f>
        <v>FY24A</v>
      </c>
      <c r="B94" s="16" t="n">
        <f aca="false">DCF!C64</f>
        <v>84683</v>
      </c>
      <c r="C94" s="16" t="n">
        <f aca="false">DCF!C65</f>
        <v>19571</v>
      </c>
      <c r="D94" s="19" t="n">
        <f aca="false">DCF!C66</f>
        <v>0.231108959295254</v>
      </c>
    </row>
    <row r="95" customFormat="false" ht="15" hidden="false" customHeight="false" outlineLevel="0" collapsed="false">
      <c r="A95" s="20" t="str">
        <f aca="false">DCF!D63</f>
        <v>FY25A</v>
      </c>
      <c r="B95" s="16" t="n">
        <f aca="false">DCF!D64</f>
        <v>80807</v>
      </c>
      <c r="C95" s="16" t="n">
        <f aca="false">DCF!D65</f>
        <v>17755</v>
      </c>
      <c r="D95" s="19" t="n">
        <f aca="false">DCF!D66</f>
        <v>0.219721063769228</v>
      </c>
    </row>
    <row r="96" customFormat="false" ht="15" hidden="false" customHeight="false" outlineLevel="0" collapsed="false">
      <c r="A96" s="20" t="str">
        <f aca="false">DCF!E63</f>
        <v>FY26E</v>
      </c>
      <c r="B96" s="16" t="n">
        <f aca="false">DCF!E64</f>
        <v>79903.46</v>
      </c>
      <c r="C96" s="16" t="n">
        <f aca="false">DCF!E65</f>
        <v>17199.10095</v>
      </c>
      <c r="D96" s="19" t="n">
        <f aca="false">DCF!E66</f>
        <v>0.215248513018085</v>
      </c>
    </row>
    <row r="97" customFormat="false" ht="15" hidden="false" customHeight="false" outlineLevel="0" collapsed="false">
      <c r="A97" s="20" t="str">
        <f aca="false">DCF!F63</f>
        <v>FY27E</v>
      </c>
      <c r="B97" s="16" t="n">
        <f aca="false">DCF!F64</f>
        <v>81701.6157</v>
      </c>
      <c r="C97" s="16" t="n">
        <f aca="false">DCF!F65</f>
        <v>17601.873206</v>
      </c>
      <c r="D97" s="19" t="n">
        <f aca="false">DCF!F66</f>
        <v>0.215440943917588</v>
      </c>
    </row>
    <row r="98" customFormat="false" ht="15" hidden="false" customHeight="false" outlineLevel="0" collapsed="false">
      <c r="A98" s="20" t="str">
        <f aca="false">DCF!G63</f>
        <v>FY28E</v>
      </c>
      <c r="B98" s="16" t="n">
        <f aca="false">DCF!G64</f>
        <v>85724.1019</v>
      </c>
      <c r="C98" s="16" t="n">
        <f aca="false">DCF!G65</f>
        <v>19202.11111696</v>
      </c>
      <c r="D98" s="19" t="n">
        <f aca="false">DCF!G66</f>
        <v>0.223998976849707</v>
      </c>
    </row>
    <row r="99" customFormat="false" ht="15" hidden="false" customHeight="false" outlineLevel="0" collapsed="false">
      <c r="A99" s="20" t="str">
        <f aca="false">DCF!H63</f>
        <v>FY29E</v>
      </c>
      <c r="B99" s="16" t="n">
        <f aca="false">DCF!H64</f>
        <v>90332.40361548</v>
      </c>
      <c r="C99" s="16" t="n">
        <f aca="false">DCF!H65</f>
        <v>20953.9179846682</v>
      </c>
      <c r="D99" s="19" t="n">
        <f aca="false">DCF!H66</f>
        <v>0.231964579110097</v>
      </c>
    </row>
    <row r="100" customFormat="false" ht="15" hidden="false" customHeight="false" outlineLevel="0" collapsed="false">
      <c r="A100" s="20" t="str">
        <f aca="false">DCF!I63</f>
        <v>FY30E</v>
      </c>
      <c r="B100" s="16" t="n">
        <f aca="false">DCF!I64</f>
        <v>95064.4832977956</v>
      </c>
      <c r="C100" s="16" t="n">
        <f aca="false">DCF!I65</f>
        <v>22642.7398630456</v>
      </c>
      <c r="D100" s="19" t="n">
        <f aca="false">DCF!I66</f>
        <v>0.238182958320152</v>
      </c>
    </row>
    <row r="101" customFormat="false" ht="15" hidden="false" customHeight="false" outlineLevel="0" collapsed="false">
      <c r="A101" s="20" t="str">
        <f aca="false">DCF!J63</f>
        <v>FY31E</v>
      </c>
      <c r="B101" s="16" t="n">
        <f aca="false">DCF!J64</f>
        <v>99404.4020416259</v>
      </c>
      <c r="C101" s="16" t="n">
        <f aca="false">DCF!J65</f>
        <v>23740.8478759278</v>
      </c>
      <c r="D101" s="19" t="n">
        <f aca="false">DCF!J66</f>
        <v>0.238830951027564</v>
      </c>
    </row>
    <row r="103" customFormat="false" ht="15" hidden="false" customHeight="false" outlineLevel="0" collapsed="false">
      <c r="A103" s="8" t="s">
        <v>574</v>
      </c>
    </row>
    <row r="104" customFormat="false" ht="15" hidden="false" customHeight="false" outlineLevel="0" collapsed="false">
      <c r="A104" s="8" t="s">
        <v>575</v>
      </c>
      <c r="B104" s="8" t="s">
        <v>576</v>
      </c>
    </row>
    <row r="105" customFormat="false" ht="15" hidden="false" customHeight="false" outlineLevel="0" collapsed="false">
      <c r="A105" s="20" t="str">
        <f aca="false">Precedent_Transactions!B4&amp;" / "&amp;Precedent_Transactions!C4</f>
        <v>Kering / Creed</v>
      </c>
      <c r="B105" s="18" t="n">
        <f aca="false">Precedent_Transactions!F4</f>
        <v>23.3</v>
      </c>
    </row>
    <row r="106" customFormat="false" ht="15" hidden="false" customHeight="false" outlineLevel="0" collapsed="false">
      <c r="A106" s="20" t="str">
        <f aca="false">Precedent_Transactions!B5&amp;" / "&amp;Precedent_Transactions!C5</f>
        <v>Tapestry / Capri Holdings (terminated 2024)</v>
      </c>
      <c r="B106" s="18" t="n">
        <f aca="false">Precedent_Transactions!F5</f>
        <v>9</v>
      </c>
    </row>
    <row r="107" customFormat="false" ht="15" hidden="false" customHeight="false" outlineLevel="0" collapsed="false">
      <c r="A107" s="20" t="str">
        <f aca="false">Precedent_Transactions!B6&amp;" / "&amp;Precedent_Transactions!C6</f>
        <v>LVMH / Tiffany &amp; Co.</v>
      </c>
      <c r="B107" s="18" t="n">
        <f aca="false">Precedent_Transactions!F6</f>
        <v>18.5</v>
      </c>
    </row>
    <row r="108" customFormat="false" ht="15" hidden="false" customHeight="false" outlineLevel="0" collapsed="false">
      <c r="A108" s="20" t="str">
        <f aca="false">Precedent_Transactions!B7&amp;" / "&amp;Precedent_Transactions!C7</f>
        <v>Michael Kors / Versace</v>
      </c>
      <c r="B108" s="18" t="n">
        <f aca="false">Precedent_Transactions!F7</f>
        <v>22</v>
      </c>
    </row>
    <row r="109" customFormat="false" ht="15" hidden="false" customHeight="false" outlineLevel="0" collapsed="false">
      <c r="A109" s="20" t="str">
        <f aca="false">Precedent_Transactions!B8&amp;" / "&amp;Precedent_Transactions!C8</f>
        <v>Michael Kors / Jimmy Choo</v>
      </c>
      <c r="B109" s="18" t="n">
        <f aca="false">Precedent_Transactions!F8</f>
        <v>17.5</v>
      </c>
    </row>
    <row r="110" customFormat="false" ht="15" hidden="false" customHeight="false" outlineLevel="0" collapsed="false">
      <c r="A110" s="20" t="str">
        <f aca="false">Precedent_Transactions!B9&amp;" / "&amp;Precedent_Transactions!C9</f>
        <v>Coach / Kate Spade</v>
      </c>
      <c r="B110" s="18" t="n">
        <f aca="false">Precedent_Transactions!F9</f>
        <v>10.4</v>
      </c>
    </row>
    <row r="111" customFormat="false" ht="15" hidden="false" customHeight="false" outlineLevel="0" collapsed="false">
      <c r="A111" s="20" t="str">
        <f aca="false">Precedent_Transactions!B10&amp;" / "&amp;Precedent_Transactions!C10</f>
        <v>LVMH / Christian Dior Couture</v>
      </c>
      <c r="B111" s="18" t="n">
        <f aca="false">Precedent_Transactions!F10</f>
        <v>15.6</v>
      </c>
    </row>
    <row r="112" customFormat="false" ht="15" hidden="false" customHeight="false" outlineLevel="0" collapsed="false">
      <c r="A112" s="20" t="str">
        <f aca="false">Precedent_Transactions!B11&amp;" / "&amp;Precedent_Transactions!C11</f>
        <v>Samsonite / Tumi</v>
      </c>
      <c r="B112" s="18" t="n">
        <f aca="false">Precedent_Transactions!F11</f>
        <v>13.6</v>
      </c>
    </row>
    <row r="113" customFormat="false" ht="15" hidden="false" customHeight="false" outlineLevel="0" collapsed="false">
      <c r="A113" s="20" t="str">
        <f aca="false">Precedent_Transactions!B12&amp;" / "&amp;Precedent_Transactions!C12</f>
        <v>LVMH / Loro Piana (80%)</v>
      </c>
      <c r="B113" s="18" t="n">
        <f aca="false">Precedent_Transactions!F12</f>
        <v>21</v>
      </c>
    </row>
    <row r="114" customFormat="false" ht="15" hidden="false" customHeight="false" outlineLevel="0" collapsed="false">
      <c r="A114" s="20" t="str">
        <f aca="false">Precedent_Transactions!B13&amp;" / "&amp;Precedent_Transactions!C13</f>
        <v>Swatch Group / Harry Winston</v>
      </c>
      <c r="B114" s="18" t="n">
        <f aca="false">Precedent_Transactions!F13</f>
        <v>24.4</v>
      </c>
    </row>
    <row r="115" customFormat="false" ht="15" hidden="false" customHeight="false" outlineLevel="0" collapsed="false">
      <c r="A115" s="20" t="str">
        <f aca="false">Precedent_Transactions!B14&amp;" / "&amp;Precedent_Transactions!C14</f>
        <v>Mayhoola / Valentino</v>
      </c>
      <c r="B115" s="18" t="n">
        <f aca="false">Precedent_Transactions!F14</f>
        <v>31.6</v>
      </c>
    </row>
    <row r="116" customFormat="false" ht="15" hidden="false" customHeight="false" outlineLevel="0" collapsed="false">
      <c r="A116" s="20" t="str">
        <f aca="false">Precedent_Transactions!B15&amp;" / "&amp;Precedent_Transactions!C15</f>
        <v>LVMH / Bulgari</v>
      </c>
      <c r="B116" s="18" t="n">
        <f aca="false">Precedent_Transactions!F15</f>
        <v>25.8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2026-10-27T17:38:39Z</dcterms:created>
  <dc:creator>openpyxl</dc:creator>
  <dc:description/>
  <dc:language>en-US</dc:language>
  <cp:lastModifiedBy/>
  <dcterms:modified xsi:type="dcterms:W3CDTF">2026-10-27T18:38:40Z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
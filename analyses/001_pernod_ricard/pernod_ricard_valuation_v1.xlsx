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sabashvilirezi/Desktop/axone/analyses/001_pernod_ricard/"/>
    </mc:Choice>
  </mc:AlternateContent>
  <xr:revisionPtr revIDLastSave="0" documentId="13_ncr:1_{E823FEC6-F38C-6E44-A3A9-45F81DF160A4}" xr6:coauthVersionLast="47" xr6:coauthVersionMax="47" xr10:uidLastSave="{00000000-0000-0000-0000-000000000000}"/>
  <bookViews>
    <workbookView xWindow="0" yWindow="680" windowWidth="34200" windowHeight="20740" activeTab="4" xr2:uid="{00000000-000D-0000-FFFF-FFFF00000000}"/>
  </bookViews>
  <sheets>
    <sheet name="Cover" sheetId="1" r:id="rId1"/>
    <sheet name="Data" sheetId="2" r:id="rId2"/>
    <sheet name="Assumptions" sheetId="3" r:id="rId3"/>
    <sheet name="Income_Statement" sheetId="4" r:id="rId4"/>
    <sheet name="DCF" sheetId="5" r:id="rId5"/>
    <sheet name="WACC" sheetId="6" r:id="rId6"/>
    <sheet name="Bridge" sheetId="7" r:id="rId7"/>
    <sheet name="Sensitivity" sheetId="8" r:id="rId8"/>
    <sheet name="Trading_Comps" sheetId="9" r:id="rId9"/>
    <sheet name="Precedent_Transactions" sheetId="10" r:id="rId10"/>
    <sheet name="Football_Field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1" l="1"/>
  <c r="B8" i="11"/>
  <c r="B19" i="10"/>
  <c r="B18" i="10"/>
  <c r="B13" i="10"/>
  <c r="F9" i="10"/>
  <c r="F8" i="10"/>
  <c r="F7" i="10"/>
  <c r="F6" i="10"/>
  <c r="F4" i="10"/>
  <c r="B12" i="10" s="1"/>
  <c r="B16" i="10" s="1"/>
  <c r="B23" i="9"/>
  <c r="B22" i="9"/>
  <c r="L10" i="9"/>
  <c r="K10" i="9"/>
  <c r="J10" i="9"/>
  <c r="F10" i="9"/>
  <c r="D10" i="9"/>
  <c r="F9" i="9"/>
  <c r="K9" i="9" s="1"/>
  <c r="D9" i="9"/>
  <c r="L9" i="9" s="1"/>
  <c r="L8" i="9"/>
  <c r="K8" i="9"/>
  <c r="J8" i="9"/>
  <c r="F8" i="9"/>
  <c r="D8" i="9"/>
  <c r="F7" i="9"/>
  <c r="K7" i="9" s="1"/>
  <c r="D7" i="9"/>
  <c r="L7" i="9" s="1"/>
  <c r="L6" i="9"/>
  <c r="K6" i="9"/>
  <c r="J6" i="9"/>
  <c r="F6" i="9"/>
  <c r="D6" i="9"/>
  <c r="F5" i="9"/>
  <c r="K5" i="9" s="1"/>
  <c r="D5" i="9"/>
  <c r="L5" i="9" s="1"/>
  <c r="L4" i="9"/>
  <c r="K4" i="9"/>
  <c r="J4" i="9"/>
  <c r="F4" i="9"/>
  <c r="D4" i="9"/>
  <c r="C11" i="7"/>
  <c r="B11" i="7"/>
  <c r="C9" i="7"/>
  <c r="B9" i="7"/>
  <c r="C7" i="7"/>
  <c r="C6" i="7"/>
  <c r="C5" i="7"/>
  <c r="B5" i="7"/>
  <c r="B16" i="6"/>
  <c r="B25" i="1" s="1"/>
  <c r="B27" i="1" s="1"/>
  <c r="B10" i="6"/>
  <c r="B12" i="6" s="1"/>
  <c r="B6" i="6"/>
  <c r="B8" i="6" s="1"/>
  <c r="B5" i="6"/>
  <c r="I55" i="5"/>
  <c r="H55" i="5"/>
  <c r="G55" i="5"/>
  <c r="F55" i="5"/>
  <c r="E55" i="5"/>
  <c r="E53" i="5"/>
  <c r="I52" i="5"/>
  <c r="H52" i="5"/>
  <c r="G52" i="5"/>
  <c r="F52" i="5"/>
  <c r="E52" i="5"/>
  <c r="D42" i="5"/>
  <c r="C42" i="5"/>
  <c r="B42" i="5"/>
  <c r="B14" i="5"/>
  <c r="C14" i="5" s="1"/>
  <c r="D14" i="5" s="1"/>
  <c r="E14" i="5" s="1"/>
  <c r="F14" i="5" s="1"/>
  <c r="G14" i="5" s="1"/>
  <c r="B13" i="5"/>
  <c r="C13" i="5" s="1"/>
  <c r="D13" i="5" s="1"/>
  <c r="E13" i="5" s="1"/>
  <c r="F13" i="5" s="1"/>
  <c r="G13" i="5" s="1"/>
  <c r="B12" i="5"/>
  <c r="C12" i="5" s="1"/>
  <c r="B8" i="5"/>
  <c r="D25" i="4"/>
  <c r="C25" i="4"/>
  <c r="B25" i="4"/>
  <c r="D24" i="4"/>
  <c r="C24" i="4"/>
  <c r="D8" i="4"/>
  <c r="D10" i="4" s="1"/>
  <c r="B8" i="4"/>
  <c r="B10" i="4" s="1"/>
  <c r="D6" i="4"/>
  <c r="C6" i="4"/>
  <c r="C8" i="4" s="1"/>
  <c r="C10" i="4" s="1"/>
  <c r="B6" i="4"/>
  <c r="B28" i="1"/>
  <c r="B26" i="1"/>
  <c r="C22" i="1"/>
  <c r="B22" i="1"/>
  <c r="B15" i="1"/>
  <c r="B8" i="1"/>
  <c r="B6" i="1"/>
  <c r="C23" i="4" l="1"/>
  <c r="C27" i="4" s="1"/>
  <c r="C26" i="4"/>
  <c r="C12" i="4"/>
  <c r="C43" i="5"/>
  <c r="C44" i="5" s="1"/>
  <c r="B23" i="4"/>
  <c r="B27" i="4" s="1"/>
  <c r="B26" i="4"/>
  <c r="B12" i="4"/>
  <c r="B43" i="5"/>
  <c r="B44" i="5" s="1"/>
  <c r="D23" i="4"/>
  <c r="D27" i="4" s="1"/>
  <c r="D26" i="4"/>
  <c r="D12" i="4"/>
  <c r="D43" i="5"/>
  <c r="D44" i="5" s="1"/>
  <c r="D12" i="5"/>
  <c r="C15" i="5"/>
  <c r="K14" i="9"/>
  <c r="L13" i="9"/>
  <c r="L16" i="9"/>
  <c r="L15" i="9"/>
  <c r="K13" i="9"/>
  <c r="K15" i="9"/>
  <c r="B18" i="6"/>
  <c r="B20" i="6" s="1"/>
  <c r="L14" i="9"/>
  <c r="B19" i="6"/>
  <c r="B21" i="6" s="1"/>
  <c r="K16" i="9"/>
  <c r="B15" i="5"/>
  <c r="J5" i="9"/>
  <c r="J15" i="9" s="1"/>
  <c r="J7" i="9"/>
  <c r="J9" i="9"/>
  <c r="J13" i="9" l="1"/>
  <c r="B20" i="9" s="1"/>
  <c r="C30" i="5"/>
  <c r="G30" i="5"/>
  <c r="F30" i="5"/>
  <c r="E30" i="5"/>
  <c r="D30" i="5"/>
  <c r="J14" i="9"/>
  <c r="D28" i="4"/>
  <c r="D16" i="4"/>
  <c r="D18" i="4" s="1"/>
  <c r="D20" i="4" s="1"/>
  <c r="B16" i="4"/>
  <c r="B18" i="4" s="1"/>
  <c r="B20" i="4" s="1"/>
  <c r="B28" i="4"/>
  <c r="J16" i="9"/>
  <c r="C17" i="5"/>
  <c r="E42" i="5"/>
  <c r="E12" i="5"/>
  <c r="D15" i="5"/>
  <c r="C28" i="4"/>
  <c r="C16" i="4"/>
  <c r="C18" i="4" s="1"/>
  <c r="C20" i="4" s="1"/>
  <c r="F42" i="5" l="1"/>
  <c r="D17" i="5"/>
  <c r="F12" i="5"/>
  <c r="E15" i="5"/>
  <c r="C26" i="5"/>
  <c r="C24" i="5"/>
  <c r="C19" i="5"/>
  <c r="C25" i="5"/>
  <c r="C20" i="5"/>
  <c r="C18" i="5"/>
  <c r="C21" i="5" s="1"/>
  <c r="B19" i="9" l="1"/>
  <c r="E43" i="5"/>
  <c r="E44" i="5" s="1"/>
  <c r="E58" i="5"/>
  <c r="C23" i="5"/>
  <c r="C27" i="5" s="1"/>
  <c r="B15" i="10"/>
  <c r="B17" i="10" s="1"/>
  <c r="B20" i="10" s="1"/>
  <c r="B21" i="10" s="1"/>
  <c r="F15" i="5"/>
  <c r="G12" i="5"/>
  <c r="G15" i="5" s="1"/>
  <c r="E17" i="5"/>
  <c r="G42" i="5"/>
  <c r="D25" i="5"/>
  <c r="D20" i="5"/>
  <c r="D18" i="5"/>
  <c r="D26" i="5"/>
  <c r="D24" i="5"/>
  <c r="D19" i="5"/>
  <c r="G17" i="5" l="1"/>
  <c r="I42" i="5"/>
  <c r="E54" i="5"/>
  <c r="E57" i="5" s="1"/>
  <c r="C31" i="5"/>
  <c r="B21" i="1"/>
  <c r="B14" i="1"/>
  <c r="C7" i="11"/>
  <c r="B7" i="11"/>
  <c r="D21" i="5"/>
  <c r="E25" i="5"/>
  <c r="E20" i="5"/>
  <c r="E18" i="5"/>
  <c r="E26" i="5"/>
  <c r="E24" i="5"/>
  <c r="E19" i="5"/>
  <c r="F17" i="5"/>
  <c r="H42" i="5"/>
  <c r="B21" i="9"/>
  <c r="B24" i="9" s="1"/>
  <c r="B25" i="9" s="1"/>
  <c r="B27" i="9"/>
  <c r="C6" i="11" s="1"/>
  <c r="B26" i="9"/>
  <c r="B6" i="11" s="1"/>
  <c r="F43" i="5" l="1"/>
  <c r="F44" i="5" s="1"/>
  <c r="F58" i="5"/>
  <c r="D23" i="5"/>
  <c r="D27" i="5" s="1"/>
  <c r="B20" i="1"/>
  <c r="B13" i="1"/>
  <c r="E59" i="5"/>
  <c r="F53" i="5"/>
  <c r="E21" i="5"/>
  <c r="F25" i="5"/>
  <c r="F20" i="5"/>
  <c r="F18" i="5"/>
  <c r="F26" i="5"/>
  <c r="F24" i="5"/>
  <c r="F19" i="5"/>
  <c r="G25" i="5"/>
  <c r="G20" i="5"/>
  <c r="G18" i="5"/>
  <c r="G21" i="5" s="1"/>
  <c r="G26" i="5"/>
  <c r="G24" i="5"/>
  <c r="G19" i="5"/>
  <c r="G43" i="5" l="1"/>
  <c r="G44" i="5" s="1"/>
  <c r="G58" i="5"/>
  <c r="E23" i="5"/>
  <c r="E27" i="5" s="1"/>
  <c r="I58" i="5"/>
  <c r="G23" i="5"/>
  <c r="G27" i="5" s="1"/>
  <c r="B35" i="5"/>
  <c r="B36" i="5" s="1"/>
  <c r="I43" i="5"/>
  <c r="I44" i="5" s="1"/>
  <c r="F57" i="5"/>
  <c r="D31" i="5"/>
  <c r="F54" i="5"/>
  <c r="F21" i="5"/>
  <c r="E31" i="5" l="1"/>
  <c r="G54" i="5"/>
  <c r="G53" i="5"/>
  <c r="G57" i="5" s="1"/>
  <c r="F59" i="5"/>
  <c r="G31" i="5"/>
  <c r="I54" i="5"/>
  <c r="B34" i="5"/>
  <c r="D16" i="8" a="1"/>
  <c r="D16" i="8" s="1"/>
  <c r="F15" i="8" a="1"/>
  <c r="F15" i="8" s="1"/>
  <c r="E21" i="8" a="1"/>
  <c r="E21" i="8" s="1"/>
  <c r="H43" i="5"/>
  <c r="H44" i="5" s="1"/>
  <c r="H58" i="5"/>
  <c r="F23" i="5"/>
  <c r="F27" i="5" s="1"/>
  <c r="C17" i="8" a="1"/>
  <c r="C17" i="8" s="1"/>
  <c r="F16" i="8" a="1"/>
  <c r="F16" i="8" s="1"/>
  <c r="F31" i="5" l="1"/>
  <c r="B33" i="5" s="1"/>
  <c r="H54" i="5"/>
  <c r="G15" i="8" a="1"/>
  <c r="G15" i="8" s="1"/>
  <c r="E20" i="8" a="1"/>
  <c r="E20" i="8" s="1"/>
  <c r="F11" i="8" a="1"/>
  <c r="F11" i="8" s="1"/>
  <c r="C15" i="8" a="1"/>
  <c r="C15" i="8" s="1"/>
  <c r="G16" i="8" a="1"/>
  <c r="G16" i="8" s="1"/>
  <c r="C9" i="8" a="1"/>
  <c r="C9" i="8" s="1"/>
  <c r="E9" i="8" a="1"/>
  <c r="E9" i="8" s="1"/>
  <c r="F19" i="8" a="1"/>
  <c r="F19" i="8" s="1"/>
  <c r="C21" i="8" a="1"/>
  <c r="C21" i="8" s="1"/>
  <c r="G5" i="8" a="1"/>
  <c r="G5" i="8" s="1"/>
  <c r="C19" i="8" a="1"/>
  <c r="C19" i="8" s="1"/>
  <c r="E15" i="8" a="1"/>
  <c r="E15" i="8" s="1"/>
  <c r="F7" i="8" a="1"/>
  <c r="F7" i="8" s="1"/>
  <c r="D5" i="8" a="1"/>
  <c r="D5" i="8" s="1"/>
  <c r="D9" i="8" a="1"/>
  <c r="D9" i="8" s="1"/>
  <c r="B4" i="11" s="1"/>
  <c r="D8" i="8" a="1"/>
  <c r="D8" i="8" s="1"/>
  <c r="C4" i="11" s="1"/>
  <c r="C11" i="8" a="1"/>
  <c r="C11" i="8" s="1"/>
  <c r="E7" i="8" a="1"/>
  <c r="E7" i="8" s="1"/>
  <c r="F21" i="8" a="1"/>
  <c r="F21" i="8" s="1"/>
  <c r="E16" i="8" a="1"/>
  <c r="E16" i="8" s="1"/>
  <c r="G20" i="8" a="1"/>
  <c r="G20" i="8" s="1"/>
  <c r="D10" i="8" a="1"/>
  <c r="D10" i="8" s="1"/>
  <c r="D19" i="8" a="1"/>
  <c r="D19" i="8" s="1"/>
  <c r="B5" i="11" s="1"/>
  <c r="E5" i="8" a="1"/>
  <c r="E5" i="8" s="1"/>
  <c r="D18" i="8" a="1"/>
  <c r="D18" i="8" s="1"/>
  <c r="C5" i="11" s="1"/>
  <c r="C10" i="8" a="1"/>
  <c r="C10" i="8" s="1"/>
  <c r="C7" i="8" a="1"/>
  <c r="C7" i="8" s="1"/>
  <c r="G17" i="8" a="1"/>
  <c r="G17" i="8" s="1"/>
  <c r="F5" i="8" a="1"/>
  <c r="F5" i="8" s="1"/>
  <c r="G10" i="8" a="1"/>
  <c r="G10" i="8" s="1"/>
  <c r="D15" i="8" a="1"/>
  <c r="D15" i="8" s="1"/>
  <c r="G9" i="8" a="1"/>
  <c r="G9" i="8" s="1"/>
  <c r="E6" i="8" a="1"/>
  <c r="E6" i="8" s="1"/>
  <c r="C8" i="8" a="1"/>
  <c r="C8" i="8" s="1"/>
  <c r="E11" i="8" a="1"/>
  <c r="E11" i="8" s="1"/>
  <c r="C16" i="8" a="1"/>
  <c r="C16" i="8" s="1"/>
  <c r="E8" i="8" a="1"/>
  <c r="E8" i="8" s="1"/>
  <c r="C18" i="8" a="1"/>
  <c r="C18" i="8" s="1"/>
  <c r="E19" i="8" a="1"/>
  <c r="E19" i="8" s="1"/>
  <c r="G6" i="8" a="1"/>
  <c r="G6" i="8" s="1"/>
  <c r="F17" i="8" a="1"/>
  <c r="F17" i="8" s="1"/>
  <c r="D11" i="8" a="1"/>
  <c r="D11" i="8" s="1"/>
  <c r="E18" i="8" a="1"/>
  <c r="E18" i="8" s="1"/>
  <c r="F20" i="8" a="1"/>
  <c r="F20" i="8" s="1"/>
  <c r="G18" i="8" a="1"/>
  <c r="G18" i="8" s="1"/>
  <c r="F9" i="8" a="1"/>
  <c r="F9" i="8" s="1"/>
  <c r="C6" i="8" a="1"/>
  <c r="C6" i="8" s="1"/>
  <c r="D20" i="8" a="1"/>
  <c r="D20" i="8" s="1"/>
  <c r="G8" i="8" a="1"/>
  <c r="G8" i="8" s="1"/>
  <c r="C20" i="8" a="1"/>
  <c r="C20" i="8" s="1"/>
  <c r="E17" i="8" a="1"/>
  <c r="E17" i="8" s="1"/>
  <c r="D6" i="8" a="1"/>
  <c r="D6" i="8" s="1"/>
  <c r="F6" i="8" a="1"/>
  <c r="F6" i="8" s="1"/>
  <c r="F10" i="8" a="1"/>
  <c r="F10" i="8" s="1"/>
  <c r="F18" i="8" a="1"/>
  <c r="F18" i="8" s="1"/>
  <c r="G7" i="8" a="1"/>
  <c r="G7" i="8" s="1"/>
  <c r="G21" i="8" a="1"/>
  <c r="G21" i="8" s="1"/>
  <c r="D21" i="8" a="1"/>
  <c r="D21" i="8" s="1"/>
  <c r="D7" i="8" a="1"/>
  <c r="D7" i="8" s="1"/>
  <c r="G11" i="8" a="1"/>
  <c r="G11" i="8" s="1"/>
  <c r="D17" i="8" a="1"/>
  <c r="D17" i="8" s="1"/>
  <c r="G19" i="8" a="1"/>
  <c r="G19" i="8" s="1"/>
  <c r="C5" i="8" a="1"/>
  <c r="C5" i="8" s="1"/>
  <c r="F8" i="8" a="1"/>
  <c r="F8" i="8" s="1"/>
  <c r="H53" i="5"/>
  <c r="H57" i="5" s="1"/>
  <c r="G59" i="5"/>
  <c r="E10" i="8" a="1"/>
  <c r="E10" i="8" s="1"/>
  <c r="I53" i="5" l="1"/>
  <c r="I57" i="5" s="1"/>
  <c r="I59" i="5" s="1"/>
  <c r="H59" i="5"/>
  <c r="B37" i="5"/>
  <c r="B4" i="7" s="1"/>
  <c r="B8" i="7" s="1"/>
  <c r="B10" i="7" s="1"/>
  <c r="B38" i="5"/>
  <c r="C4" i="7" s="1"/>
  <c r="C8" i="7" s="1"/>
  <c r="C10" i="7" s="1"/>
  <c r="B12" i="7" l="1"/>
  <c r="B18" i="1"/>
  <c r="B12" i="1"/>
  <c r="B16" i="1" s="1"/>
  <c r="B9" i="1" s="1"/>
  <c r="B10" i="1" s="1"/>
  <c r="C12" i="7"/>
  <c r="B19" i="1"/>
</calcChain>
</file>

<file path=xl/sharedStrings.xml><?xml version="1.0" encoding="utf-8"?>
<sst xmlns="http://schemas.openxmlformats.org/spreadsheetml/2006/main" count="348" uniqueCount="261">
  <si>
    <t>Pernod Ricard SA — Equity Research Summary</t>
  </si>
  <si>
    <t>Company</t>
  </si>
  <si>
    <t>Pernod Ricard SA</t>
  </si>
  <si>
    <t>Ticker</t>
  </si>
  <si>
    <t>RI FP (Euronext Paris)</t>
  </si>
  <si>
    <t>Sector</t>
  </si>
  <si>
    <t>Spirits &amp; Wine</t>
  </si>
  <si>
    <t>Valuation date</t>
  </si>
  <si>
    <t>Recommendation</t>
  </si>
  <si>
    <t>BUY</t>
  </si>
  <si>
    <t>Current price (€)</t>
  </si>
  <si>
    <t>Target price (€)</t>
  </si>
  <si>
    <t>Upside / (downside)</t>
  </si>
  <si>
    <t>TARGET PRICE METHODOLOGY</t>
  </si>
  <si>
    <t>DCF (avg Gordon/Exit)</t>
  </si>
  <si>
    <t>Trading Comps (median)</t>
  </si>
  <si>
    <t>Precedent Transactions (median)</t>
  </si>
  <si>
    <t>Weights check</t>
  </si>
  <si>
    <t>VALUATION SUMMARY (€/share)</t>
  </si>
  <si>
    <t>DCF — Gordon</t>
  </si>
  <si>
    <t>DCF — Exit</t>
  </si>
  <si>
    <t>52-week low / high</t>
  </si>
  <si>
    <t>Analyst consensus</t>
  </si>
  <si>
    <t>KEY STATISTICS</t>
  </si>
  <si>
    <t>Market cap (€m)</t>
  </si>
  <si>
    <t>Net debt (€m)</t>
  </si>
  <si>
    <t>Enterprise value (€m)</t>
  </si>
  <si>
    <t>Shares outstanding (m)</t>
  </si>
  <si>
    <t>Disclaimer</t>
  </si>
  <si>
    <t>Educational use only — not investment advice. Built on public filings.</t>
  </si>
  <si>
    <t>field</t>
  </si>
  <si>
    <t>value</t>
  </si>
  <si>
    <t>unit</t>
  </si>
  <si>
    <t>currency</t>
  </si>
  <si>
    <t>as_of_date</t>
  </si>
  <si>
    <t>source</t>
  </si>
  <si>
    <t>auto</t>
  </si>
  <si>
    <t>share_price</t>
  </si>
  <si>
    <t>per_share</t>
  </si>
  <si>
    <t>EUR</t>
  </si>
  <si>
    <t>PR IR - Share &amp; Debt</t>
  </si>
  <si>
    <t>Y</t>
  </si>
  <si>
    <t>shares_outstanding</t>
  </si>
  <si>
    <t>million</t>
  </si>
  <si>
    <t>URD</t>
  </si>
  <si>
    <t>N</t>
  </si>
  <si>
    <t>isin</t>
  </si>
  <si>
    <t>FR0000120693</t>
  </si>
  <si>
    <t>ticker_bbg</t>
  </si>
  <si>
    <t>RI FP</t>
  </si>
  <si>
    <t>52w_low</t>
  </si>
  <si>
    <t>market</t>
  </si>
  <si>
    <t>52w_high</t>
  </si>
  <si>
    <t>beta_raw</t>
  </si>
  <si>
    <t>dps_fy25</t>
  </si>
  <si>
    <t>FY25</t>
  </si>
  <si>
    <t>H1 FY26 release</t>
  </si>
  <si>
    <t>net_debt</t>
  </si>
  <si>
    <t>cost_of_debt_avg</t>
  </si>
  <si>
    <t>%</t>
  </si>
  <si>
    <t>consolidated FS</t>
  </si>
  <si>
    <t>cost_of_debt_marginal</t>
  </si>
  <si>
    <t>3.25-3.75</t>
  </si>
  <si>
    <t>2025-11</t>
  </si>
  <si>
    <t>bond table</t>
  </si>
  <si>
    <t>risk_free_rate</t>
  </si>
  <si>
    <t>OAT 10Y France</t>
  </si>
  <si>
    <t>erp_france</t>
  </si>
  <si>
    <t>2026-06</t>
  </si>
  <si>
    <t>damodaran</t>
  </si>
  <si>
    <t>effective_tax_rate</t>
  </si>
  <si>
    <t>credit_rating_sp</t>
  </si>
  <si>
    <t>BBB+</t>
  </si>
  <si>
    <t>PRIF FS</t>
  </si>
  <si>
    <t>credit_rating_moodys</t>
  </si>
  <si>
    <t>Baa1</t>
  </si>
  <si>
    <t>Pernod Ricard SA — Key Assumptions</t>
  </si>
  <si>
    <t>Driver</t>
  </si>
  <si>
    <t>FY26E</t>
  </si>
  <si>
    <t>FY27E</t>
  </si>
  <si>
    <t>FY28E</t>
  </si>
  <si>
    <t>FY29E</t>
  </si>
  <si>
    <t>FY30E</t>
  </si>
  <si>
    <t>Revenue growth — organic (% YoY)</t>
  </si>
  <si>
    <t>Americas growth %</t>
  </si>
  <si>
    <t>Asia / Rest of World growth %</t>
  </si>
  <si>
    <t>Europe growth %</t>
  </si>
  <si>
    <t>Profitability (% of net sales)</t>
  </si>
  <si>
    <t>Gross margin %</t>
  </si>
  <si>
    <t>A&amp;P % of sales</t>
  </si>
  <si>
    <t>Structure costs % of sales</t>
  </si>
  <si>
    <t>Cash flow drivers</t>
  </si>
  <si>
    <t>D&amp;A % of sales</t>
  </si>
  <si>
    <t>Capex % of sales</t>
  </si>
  <si>
    <t>Change in NWC % of sales</t>
  </si>
  <si>
    <t>Tax rate (normalised) %</t>
  </si>
  <si>
    <t>Terminal value</t>
  </si>
  <si>
    <t>Perpetuity growth rate g %</t>
  </si>
  <si>
    <t>Exit EV/EBITDA multiple</t>
  </si>
  <si>
    <t>Pernod Ricard SA - Consolidated Income Statement (€m, FYE 30 June)</t>
  </si>
  <si>
    <t>€ millions</t>
  </si>
  <si>
    <t>FY23</t>
  </si>
  <si>
    <t>FY24</t>
  </si>
  <si>
    <t>Net sales</t>
  </si>
  <si>
    <t>Cost of sales</t>
  </si>
  <si>
    <t>Gross margin after logistics</t>
  </si>
  <si>
    <t>Advertising &amp; promotion</t>
  </si>
  <si>
    <t>Contribution after A&amp;P</t>
  </si>
  <si>
    <t>Structure costs</t>
  </si>
  <si>
    <t>Profit from recurring operations</t>
  </si>
  <si>
    <t>Other operating income/(expenses)</t>
  </si>
  <si>
    <t>Operating profit (reported)</t>
  </si>
  <si>
    <t>Financial income/(expenses)</t>
  </si>
  <si>
    <t>Corporate income tax</t>
  </si>
  <si>
    <t>Share of associates</t>
  </si>
  <si>
    <t>Net profit</t>
  </si>
  <si>
    <t>o/w non-controlling interests</t>
  </si>
  <si>
    <t>Group share of net profit</t>
  </si>
  <si>
    <t>Diluted shares (m)</t>
  </si>
  <si>
    <t>Diluted EPS (€)</t>
  </si>
  <si>
    <t>Depreciation of fixed assets</t>
  </si>
  <si>
    <t>EBITDA (= PRO + D&amp;A)</t>
  </si>
  <si>
    <t>Net sales growth %</t>
  </si>
  <si>
    <t>PRO margin %</t>
  </si>
  <si>
    <t>EBITDA margin %</t>
  </si>
  <si>
    <t>Effective tax rate %</t>
  </si>
  <si>
    <t>Pernod Ricard SA — DCF Model</t>
  </si>
  <si>
    <t>€m</t>
  </si>
  <si>
    <t>FY25A</t>
  </si>
  <si>
    <t>Net sales by region — reported FY25</t>
  </si>
  <si>
    <t>Americas</t>
  </si>
  <si>
    <t>Asia / Rest of World</t>
  </si>
  <si>
    <t>Europe</t>
  </si>
  <si>
    <t>Total reported</t>
  </si>
  <si>
    <t>Disposal rebasing (Wines &amp; Imperial Blue)</t>
  </si>
  <si>
    <t>Disposal adjustment %</t>
  </si>
  <si>
    <t>Net sales — continuing &amp; projected</t>
  </si>
  <si>
    <t>Total net sales</t>
  </si>
  <si>
    <t>Gross margin</t>
  </si>
  <si>
    <t>A&amp;P</t>
  </si>
  <si>
    <t>PRO (EBIT)</t>
  </si>
  <si>
    <t>NOPAT</t>
  </si>
  <si>
    <t>(+) D&amp;A</t>
  </si>
  <si>
    <t>(−) Capex</t>
  </si>
  <si>
    <t>(+/−) Change in NWC</t>
  </si>
  <si>
    <t>Unlevered FCF</t>
  </si>
  <si>
    <t>Discount period (n)</t>
  </si>
  <si>
    <t>Discount factor</t>
  </si>
  <si>
    <t>PV of FCF</t>
  </si>
  <si>
    <t>PV of explicit FCF</t>
  </si>
  <si>
    <t>Terminal value (Gordon)</t>
  </si>
  <si>
    <t>EBITDA FY30</t>
  </si>
  <si>
    <t>Terminal value (exit)</t>
  </si>
  <si>
    <t>Enterprise Value (Gordon)</t>
  </si>
  <si>
    <t>Enterprise Value (Exit)</t>
  </si>
  <si>
    <t>Year</t>
  </si>
  <si>
    <t>Revenue</t>
  </si>
  <si>
    <t>PRO</t>
  </si>
  <si>
    <t>PRO margin</t>
  </si>
  <si>
    <t>Net debt (opening)</t>
  </si>
  <si>
    <t>(-) Free cash flow</t>
  </si>
  <si>
    <t>(+) Dividends</t>
  </si>
  <si>
    <t>(+) Other (buyback/M&amp;A)</t>
  </si>
  <si>
    <t>Net debt (closing)</t>
  </si>
  <si>
    <t>EBITDA</t>
  </si>
  <si>
    <t>Net debt / EBITDA</t>
  </si>
  <si>
    <t>DPS assumption (total, €)</t>
  </si>
  <si>
    <t>Pernod Ricard SA — WACC Model</t>
  </si>
  <si>
    <t>Label</t>
  </si>
  <si>
    <t>Value</t>
  </si>
  <si>
    <t>Cost of equity</t>
  </si>
  <si>
    <t>Risk-free rate (rf)</t>
  </si>
  <si>
    <t>Equity risk premium (ERP)</t>
  </si>
  <si>
    <t>Beta (β)</t>
  </si>
  <si>
    <t>Cost of equity (Ke)</t>
  </si>
  <si>
    <t>Cost of debt</t>
  </si>
  <si>
    <t>Pre-tax cost of debt (Kd)</t>
  </si>
  <si>
    <t>Tax rate</t>
  </si>
  <si>
    <t>After-tax cost of debt</t>
  </si>
  <si>
    <t>Capital structure</t>
  </si>
  <si>
    <t>Share price (€)</t>
  </si>
  <si>
    <t>Market cap (E)</t>
  </si>
  <si>
    <t>Net debt (D)</t>
  </si>
  <si>
    <t>Total capital (V)</t>
  </si>
  <si>
    <t>Equity weight (E/V)</t>
  </si>
  <si>
    <t>Debt weight (D/V)</t>
  </si>
  <si>
    <t>WACC</t>
  </si>
  <si>
    <t>Pernod Ricard SA — EV to Equity Bridge</t>
  </si>
  <si>
    <t>Gordon Growth</t>
  </si>
  <si>
    <t>Exit Multiple</t>
  </si>
  <si>
    <t>Enterprise Value</t>
  </si>
  <si>
    <t>(-) Net debt</t>
  </si>
  <si>
    <t>(-) Minority interest</t>
  </si>
  <si>
    <t>(+) Investments in associates</t>
  </si>
  <si>
    <t>Equity Value</t>
  </si>
  <si>
    <t>Implied share price (€)</t>
  </si>
  <si>
    <t>Current share price (€)</t>
  </si>
  <si>
    <t>Implied upside/(downside)</t>
  </si>
  <si>
    <t>Pernod Ricard SA — DCF Sensitivity</t>
  </si>
  <si>
    <t>Implied share price (€) — Gordon</t>
  </si>
  <si>
    <t>Perpetuity growth (g) →</t>
  </si>
  <si>
    <t>WACC \ g</t>
  </si>
  <si>
    <t>Implied share price (€) — Exit</t>
  </si>
  <si>
    <t>Exit EV/EBITDA →</t>
  </si>
  <si>
    <t>WACC \ x</t>
  </si>
  <si>
    <t>Pernod Ricard SA — Trading Comparables</t>
  </si>
  <si>
    <t>Share price</t>
  </si>
  <si>
    <t>Shares (m)</t>
  </si>
  <si>
    <t>Market cap</t>
  </si>
  <si>
    <t>Net debt</t>
  </si>
  <si>
    <t>EV</t>
  </si>
  <si>
    <t>Net income</t>
  </si>
  <si>
    <t>EV/EBITDA</t>
  </si>
  <si>
    <t>EV/Sales</t>
  </si>
  <si>
    <t>P/E</t>
  </si>
  <si>
    <t>Devise</t>
  </si>
  <si>
    <t>Diageo</t>
  </si>
  <si>
    <t>USD</t>
  </si>
  <si>
    <t>Rémy Cointreau</t>
  </si>
  <si>
    <t>Campari (Davide Campari-Milano)</t>
  </si>
  <si>
    <t>Brown-Forman</t>
  </si>
  <si>
    <t>Becle (Jose Cuervo)</t>
  </si>
  <si>
    <t>MXN</t>
  </si>
  <si>
    <t>Constellation Brands</t>
  </si>
  <si>
    <t>Pernod Ricard (self)</t>
  </si>
  <si>
    <t>Median peers</t>
  </si>
  <si>
    <t>Mean</t>
  </si>
  <si>
    <t>Q1</t>
  </si>
  <si>
    <t>Q3</t>
  </si>
  <si>
    <t>Pernod EBITDA (FY26E)</t>
  </si>
  <si>
    <t>Applied EV/EBITDA (median)</t>
  </si>
  <si>
    <t>Implied EV</t>
  </si>
  <si>
    <t>(-) Minorities (+) associates</t>
  </si>
  <si>
    <t>Implied equity value</t>
  </si>
  <si>
    <t xml:space="preserve">Implied price — Q1 </t>
  </si>
  <si>
    <t>Implied price — Q3</t>
  </si>
  <si>
    <t>Pernod Ricard SA — Precedent Transactions</t>
  </si>
  <si>
    <t>Date</t>
  </si>
  <si>
    <t>Acquirer</t>
  </si>
  <si>
    <t>Target</t>
  </si>
  <si>
    <t>Deal EV</t>
  </si>
  <si>
    <t>Target EBITDA</t>
  </si>
  <si>
    <t>Campari</t>
  </si>
  <si>
    <t>Courvoisier (de Beam Suntory)</t>
  </si>
  <si>
    <t>Casamigos</t>
  </si>
  <si>
    <t>Grand Marnier</t>
  </si>
  <si>
    <t>Suntory</t>
  </si>
  <si>
    <t>Beam Inc.</t>
  </si>
  <si>
    <t>Pernod Ricard</t>
  </si>
  <si>
    <t>Vin&amp;Sprit (Absolut)</t>
  </si>
  <si>
    <t>Allied Domecq</t>
  </si>
  <si>
    <t>Wilderness Trail</t>
  </si>
  <si>
    <t>Median</t>
  </si>
  <si>
    <t>Pernod Ricard SA — Valuation Summary</t>
  </si>
  <si>
    <t>Methodology</t>
  </si>
  <si>
    <t>Low</t>
  </si>
  <si>
    <t>High</t>
  </si>
  <si>
    <t>DCF — Exit multiple</t>
  </si>
  <si>
    <t>Trading Comps (EV/EBITDA)</t>
  </si>
  <si>
    <t>Precedent Transactions</t>
  </si>
  <si>
    <t>52-week trading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</si>
</sst>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yyyy\-mm\-dd;@"/>
    <numFmt numFmtId="165" formatCode="#,##0;\(#,##0\)"/>
    <numFmt numFmtId="166" formatCode="0.0%"/>
    <numFmt numFmtId="167" formatCode="0.000"/>
    <numFmt numFmtId="168" formatCode="#,##0.00;\(#,##0.00\)"/>
    <numFmt numFmtId="169" formatCode="#,##0.000"/>
    <numFmt numFmtId="170" formatCode="#,##0.0&quot;x&quot;"/>
    <numFmt numFmtId="171" formatCode="0.00&quot;%&quot;"/>
    <numFmt numFmtId="172" formatCode="yyyy\-mm\-dd"/>
    <numFmt numFmtId="173" formatCode="#,##0.00&quot;x&quot;"/>
  </numFmts>
  <fonts count="19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i/>
      <sz val="12"/>
      <color rgb="FF000000"/>
      <name val="Aptos Narrow"/>
    </font>
    <font>
      <b/>
      <sz val="12"/>
      <color rgb="FFFFFFFF"/>
      <name val="Aptos Narrow"/>
    </font>
    <font>
      <sz val="12"/>
      <color rgb="FF000000"/>
      <name val="Aptos Narrow"/>
    </font>
    <font>
      <sz val="12"/>
      <color rgb="FF808080"/>
      <name val="Aptos Narrow"/>
    </font>
    <font>
      <i/>
      <sz val="12"/>
      <color rgb="FF808080"/>
      <name val="Aptos Narrow"/>
    </font>
    <font>
      <sz val="14"/>
      <color rgb="FF000000"/>
      <name val="-webkit-standard"/>
    </font>
    <font>
      <sz val="12"/>
      <color theme="1"/>
      <name val="Aptos Narrow"/>
      <scheme val="minor"/>
    </font>
    <font>
      <sz val="10"/>
      <color rgb="FF000000"/>
      <name val="Arial Unicode MS"/>
      <family val="2"/>
    </font>
    <font>
      <sz val="12"/>
      <color rgb="FF0000FF"/>
      <name val="Aptos Narrow"/>
    </font>
    <font>
      <sz val="12"/>
      <color rgb="FF008000"/>
      <name val="Aptos Narrow"/>
    </font>
    <font>
      <sz val="12"/>
      <color rgb="FF000000"/>
      <name val="Aptos Narrow"/>
      <scheme val="minor"/>
    </font>
    <font>
      <b/>
      <sz val="12"/>
      <color rgb="FF000000"/>
      <name val="Aptos Narrow"/>
    </font>
    <font>
      <b/>
      <sz val="12"/>
      <color rgb="FF008000"/>
      <name val="Aptos Narrow"/>
    </font>
    <font>
      <b/>
      <sz val="12"/>
      <color rgb="FF0000FF"/>
      <name val="Aptos Narrow"/>
    </font>
    <font>
      <sz val="12"/>
      <color rgb="FF000000"/>
      <name val="Aptos Narrow"/>
    </font>
    <font>
      <b/>
      <sz val="12"/>
      <color rgb="FF000000"/>
      <name val="Aptos Narrow"/>
      <scheme val="minor"/>
    </font>
    <font>
      <b/>
      <i/>
      <sz val="12"/>
      <color rgb="FF000000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305496"/>
        <bgColor rgb="FF305496"/>
      </patternFill>
    </fill>
    <fill>
      <patternFill patternType="solid">
        <fgColor rgb="FFF7F9FC"/>
        <bgColor rgb="FFF7F9FC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/>
      <diagonal/>
    </border>
  </borders>
  <cellStyleXfs count="1">
    <xf numFmtId="0" fontId="0" fillId="0" borderId="15"/>
  </cellStyleXfs>
  <cellXfs count="118">
    <xf numFmtId="0" fontId="0" fillId="0" borderId="0" xfId="0" applyBorder="1"/>
    <xf numFmtId="0" fontId="1" fillId="0" borderId="0" xfId="0" applyFont="1" applyBorder="1"/>
    <xf numFmtId="0" fontId="2" fillId="0" borderId="0" xfId="0" applyFont="1" applyBorder="1" applyAlignment="1">
      <alignment horizontal="left" indent="2"/>
    </xf>
    <xf numFmtId="0" fontId="3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/>
    </xf>
    <xf numFmtId="164" fontId="5" fillId="4" borderId="4" xfId="0" applyNumberFormat="1" applyFont="1" applyFill="1" applyBorder="1" applyAlignment="1">
      <alignment horizontal="center" vertical="center"/>
    </xf>
    <xf numFmtId="14" fontId="5" fillId="4" borderId="4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0" borderId="0" xfId="0" applyFont="1" applyBorder="1"/>
    <xf numFmtId="0" fontId="8" fillId="0" borderId="0" xfId="0" applyFont="1" applyBorder="1"/>
    <xf numFmtId="0" fontId="7" fillId="0" borderId="2" xfId="0" applyFont="1" applyBorder="1"/>
    <xf numFmtId="165" fontId="7" fillId="0" borderId="0" xfId="0" applyNumberFormat="1" applyFont="1" applyBorder="1"/>
    <xf numFmtId="0" fontId="0" fillId="0" borderId="6" xfId="0" applyBorder="1"/>
    <xf numFmtId="0" fontId="0" fillId="0" borderId="7" xfId="0" applyBorder="1"/>
    <xf numFmtId="0" fontId="9" fillId="0" borderId="0" xfId="0" applyFont="1" applyBorder="1"/>
    <xf numFmtId="165" fontId="9" fillId="0" borderId="0" xfId="0" applyNumberFormat="1" applyFont="1" applyBorder="1"/>
    <xf numFmtId="165" fontId="0" fillId="0" borderId="0" xfId="0" applyNumberFormat="1" applyBorder="1"/>
    <xf numFmtId="165" fontId="10" fillId="6" borderId="9" xfId="0" applyNumberFormat="1" applyFont="1" applyFill="1" applyBorder="1" applyAlignment="1">
      <alignment horizontal="right"/>
    </xf>
    <xf numFmtId="166" fontId="10" fillId="6" borderId="9" xfId="0" applyNumberFormat="1" applyFont="1" applyFill="1" applyBorder="1" applyAlignment="1">
      <alignment horizontal="right"/>
    </xf>
    <xf numFmtId="165" fontId="11" fillId="6" borderId="9" xfId="0" applyNumberFormat="1" applyFont="1" applyFill="1" applyBorder="1" applyAlignment="1">
      <alignment horizontal="right"/>
    </xf>
    <xf numFmtId="0" fontId="8" fillId="0" borderId="9" xfId="0" applyFont="1" applyBorder="1"/>
    <xf numFmtId="167" fontId="8" fillId="0" borderId="9" xfId="0" applyNumberFormat="1" applyFont="1" applyBorder="1"/>
    <xf numFmtId="168" fontId="11" fillId="6" borderId="9" xfId="0" applyNumberFormat="1" applyFont="1" applyFill="1" applyBorder="1" applyAlignment="1">
      <alignment horizontal="right"/>
    </xf>
    <xf numFmtId="0" fontId="13" fillId="0" borderId="0" xfId="0" applyFont="1" applyBorder="1" applyAlignment="1">
      <alignment horizontal="left"/>
    </xf>
    <xf numFmtId="165" fontId="14" fillId="7" borderId="14" xfId="0" applyNumberFormat="1" applyFont="1" applyFill="1" applyBorder="1" applyAlignment="1">
      <alignment horizontal="right"/>
    </xf>
    <xf numFmtId="165" fontId="15" fillId="7" borderId="14" xfId="0" applyNumberFormat="1" applyFont="1" applyFill="1" applyBorder="1" applyAlignment="1">
      <alignment horizontal="right"/>
    </xf>
    <xf numFmtId="165" fontId="13" fillId="7" borderId="14" xfId="0" applyNumberFormat="1" applyFont="1" applyFill="1" applyBorder="1" applyAlignment="1">
      <alignment horizontal="right"/>
    </xf>
    <xf numFmtId="169" fontId="14" fillId="7" borderId="14" xfId="0" applyNumberFormat="1" applyFont="1" applyFill="1" applyBorder="1" applyAlignment="1">
      <alignment horizontal="right"/>
    </xf>
    <xf numFmtId="0" fontId="16" fillId="0" borderId="0" xfId="0" applyFont="1" applyBorder="1" applyAlignment="1">
      <alignment horizontal="left"/>
    </xf>
    <xf numFmtId="4" fontId="16" fillId="7" borderId="15" xfId="0" applyNumberFormat="1" applyFont="1" applyFill="1" applyAlignment="1">
      <alignment horizontal="right"/>
    </xf>
    <xf numFmtId="4" fontId="14" fillId="7" borderId="14" xfId="0" applyNumberFormat="1" applyFont="1" applyFill="1" applyBorder="1" applyAlignment="1">
      <alignment horizontal="right"/>
    </xf>
    <xf numFmtId="165" fontId="14" fillId="5" borderId="14" xfId="0" applyNumberFormat="1" applyFont="1" applyFill="1" applyBorder="1" applyAlignment="1">
      <alignment horizontal="right"/>
    </xf>
    <xf numFmtId="165" fontId="13" fillId="5" borderId="14" xfId="0" applyNumberFormat="1" applyFont="1" applyFill="1" applyBorder="1" applyAlignment="1">
      <alignment horizontal="right"/>
    </xf>
    <xf numFmtId="169" fontId="13" fillId="5" borderId="14" xfId="0" applyNumberFormat="1" applyFont="1" applyFill="1" applyBorder="1" applyAlignment="1">
      <alignment horizontal="right"/>
    </xf>
    <xf numFmtId="4" fontId="13" fillId="5" borderId="14" xfId="0" applyNumberFormat="1" applyFont="1" applyFill="1" applyBorder="1" applyAlignment="1">
      <alignment horizontal="right"/>
    </xf>
    <xf numFmtId="10" fontId="16" fillId="7" borderId="15" xfId="0" applyNumberFormat="1" applyFont="1" applyFill="1" applyAlignment="1">
      <alignment horizontal="right"/>
    </xf>
    <xf numFmtId="10" fontId="16" fillId="5" borderId="15" xfId="0" applyNumberFormat="1" applyFont="1" applyFill="1" applyAlignment="1">
      <alignment horizontal="right"/>
    </xf>
    <xf numFmtId="0" fontId="12" fillId="0" borderId="0" xfId="0" applyFont="1" applyBorder="1"/>
    <xf numFmtId="10" fontId="12" fillId="0" borderId="0" xfId="0" applyNumberFormat="1" applyFont="1" applyBorder="1"/>
    <xf numFmtId="0" fontId="17" fillId="0" borderId="0" xfId="0" applyFont="1" applyBorder="1"/>
    <xf numFmtId="170" fontId="12" fillId="0" borderId="0" xfId="0" applyNumberFormat="1" applyFont="1" applyBorder="1"/>
    <xf numFmtId="0" fontId="0" fillId="0" borderId="15" xfId="0"/>
    <xf numFmtId="166" fontId="10" fillId="0" borderId="0" xfId="0" applyNumberFormat="1" applyFont="1" applyBorder="1"/>
    <xf numFmtId="0" fontId="16" fillId="0" borderId="4" xfId="0" applyFont="1" applyBorder="1" applyAlignment="1">
      <alignment horizontal="left" vertical="center"/>
    </xf>
    <xf numFmtId="4" fontId="10" fillId="0" borderId="4" xfId="0" applyNumberFormat="1" applyFont="1" applyBorder="1" applyAlignment="1">
      <alignment horizontal="right" vertical="center"/>
    </xf>
    <xf numFmtId="0" fontId="16" fillId="0" borderId="4" xfId="0" applyFont="1" applyBorder="1" applyAlignment="1">
      <alignment horizontal="center" vertical="center"/>
    </xf>
    <xf numFmtId="0" fontId="16" fillId="4" borderId="4" xfId="0" applyFont="1" applyFill="1" applyBorder="1" applyAlignment="1">
      <alignment horizontal="left" vertical="center"/>
    </xf>
    <xf numFmtId="169" fontId="10" fillId="4" borderId="4" xfId="0" applyNumberFormat="1" applyFont="1" applyFill="1" applyBorder="1" applyAlignment="1">
      <alignment horizontal="right" vertical="center"/>
    </xf>
    <xf numFmtId="0" fontId="16" fillId="4" borderId="4" xfId="0" applyFont="1" applyFill="1" applyBorder="1" applyAlignment="1">
      <alignment horizontal="center" vertical="center"/>
    </xf>
    <xf numFmtId="4" fontId="10" fillId="4" borderId="4" xfId="0" applyNumberFormat="1" applyFont="1" applyFill="1" applyBorder="1" applyAlignment="1">
      <alignment horizontal="right" vertical="center"/>
    </xf>
    <xf numFmtId="2" fontId="10" fillId="0" borderId="4" xfId="0" applyNumberFormat="1" applyFont="1" applyBorder="1" applyAlignment="1">
      <alignment horizontal="right" vertical="center"/>
    </xf>
    <xf numFmtId="165" fontId="10" fillId="0" borderId="4" xfId="0" applyNumberFormat="1" applyFont="1" applyBorder="1" applyAlignment="1">
      <alignment horizontal="right" vertical="center"/>
    </xf>
    <xf numFmtId="171" fontId="10" fillId="4" borderId="4" xfId="0" applyNumberFormat="1" applyFont="1" applyFill="1" applyBorder="1" applyAlignment="1">
      <alignment horizontal="right" vertical="center"/>
    </xf>
    <xf numFmtId="171" fontId="10" fillId="0" borderId="4" xfId="0" applyNumberFormat="1" applyFont="1" applyBorder="1" applyAlignment="1">
      <alignment horizontal="right" vertical="center"/>
    </xf>
    <xf numFmtId="0" fontId="13" fillId="0" borderId="5" xfId="0" applyFont="1" applyBorder="1" applyAlignment="1">
      <alignment horizontal="left"/>
    </xf>
    <xf numFmtId="0" fontId="13" fillId="0" borderId="5" xfId="0" applyFont="1" applyBorder="1" applyAlignment="1">
      <alignment horizontal="right"/>
    </xf>
    <xf numFmtId="166" fontId="10" fillId="5" borderId="0" xfId="0" applyNumberFormat="1" applyFont="1" applyFill="1" applyBorder="1" applyAlignment="1">
      <alignment horizontal="right"/>
    </xf>
    <xf numFmtId="166" fontId="10" fillId="5" borderId="2" xfId="0" applyNumberFormat="1" applyFont="1" applyFill="1" applyBorder="1" applyAlignment="1">
      <alignment horizontal="right"/>
    </xf>
    <xf numFmtId="170" fontId="10" fillId="5" borderId="2" xfId="0" applyNumberFormat="1" applyFont="1" applyFill="1" applyBorder="1" applyAlignment="1">
      <alignment horizontal="right"/>
    </xf>
    <xf numFmtId="0" fontId="18" fillId="0" borderId="1" xfId="0" applyFont="1" applyBorder="1" applyAlignment="1">
      <alignment horizontal="left"/>
    </xf>
    <xf numFmtId="0" fontId="13" fillId="0" borderId="1" xfId="0" applyFont="1" applyBorder="1" applyAlignment="1">
      <alignment horizontal="right"/>
    </xf>
    <xf numFmtId="165" fontId="10" fillId="2" borderId="2" xfId="0" applyNumberFormat="1" applyFont="1" applyFill="1" applyBorder="1" applyAlignment="1">
      <alignment horizontal="right"/>
    </xf>
    <xf numFmtId="165" fontId="16" fillId="2" borderId="2" xfId="0" applyNumberFormat="1" applyFont="1" applyFill="1" applyBorder="1" applyAlignment="1">
      <alignment horizontal="right"/>
    </xf>
    <xf numFmtId="165" fontId="13" fillId="2" borderId="3" xfId="0" applyNumberFormat="1" applyFont="1" applyFill="1" applyBorder="1" applyAlignment="1">
      <alignment horizontal="right"/>
    </xf>
    <xf numFmtId="169" fontId="10" fillId="2" borderId="2" xfId="0" applyNumberFormat="1" applyFont="1" applyFill="1" applyBorder="1" applyAlignment="1">
      <alignment horizontal="right"/>
    </xf>
    <xf numFmtId="4" fontId="16" fillId="2" borderId="2" xfId="0" applyNumberFormat="1" applyFont="1" applyFill="1" applyBorder="1" applyAlignment="1">
      <alignment horizontal="right"/>
    </xf>
    <xf numFmtId="166" fontId="16" fillId="2" borderId="2" xfId="0" applyNumberFormat="1" applyFont="1" applyFill="1" applyBorder="1" applyAlignment="1">
      <alignment horizontal="right"/>
    </xf>
    <xf numFmtId="0" fontId="18" fillId="0" borderId="8" xfId="0" applyFont="1" applyBorder="1" applyAlignment="1">
      <alignment horizontal="left"/>
    </xf>
    <xf numFmtId="0" fontId="13" fillId="0" borderId="8" xfId="0" applyFont="1" applyBorder="1" applyAlignment="1">
      <alignment horizontal="right"/>
    </xf>
    <xf numFmtId="165" fontId="13" fillId="6" borderId="10" xfId="0" applyNumberFormat="1" applyFont="1" applyFill="1" applyBorder="1" applyAlignment="1">
      <alignment horizontal="right"/>
    </xf>
    <xf numFmtId="165" fontId="16" fillId="6" borderId="9" xfId="0" applyNumberFormat="1" applyFont="1" applyFill="1" applyBorder="1" applyAlignment="1">
      <alignment horizontal="right"/>
    </xf>
    <xf numFmtId="0" fontId="13" fillId="0" borderId="9" xfId="0" applyFont="1" applyBorder="1" applyAlignment="1">
      <alignment horizontal="center" wrapText="1"/>
    </xf>
    <xf numFmtId="0" fontId="13" fillId="0" borderId="11" xfId="0" applyFont="1" applyBorder="1" applyAlignment="1">
      <alignment horizontal="left"/>
    </xf>
    <xf numFmtId="0" fontId="13" fillId="0" borderId="11" xfId="0" applyFont="1" applyBorder="1" applyAlignment="1">
      <alignment horizontal="right"/>
    </xf>
    <xf numFmtId="0" fontId="13" fillId="0" borderId="9" xfId="0" applyFont="1" applyBorder="1" applyAlignment="1">
      <alignment horizontal="left"/>
    </xf>
    <xf numFmtId="0" fontId="16" fillId="0" borderId="9" xfId="0" applyFont="1" applyBorder="1" applyAlignment="1">
      <alignment horizontal="left"/>
    </xf>
    <xf numFmtId="166" fontId="11" fillId="5" borderId="9" xfId="0" applyNumberFormat="1" applyFont="1" applyFill="1" applyBorder="1"/>
    <xf numFmtId="2" fontId="10" fillId="5" borderId="9" xfId="0" applyNumberFormat="1" applyFont="1" applyFill="1" applyBorder="1"/>
    <xf numFmtId="166" fontId="16" fillId="5" borderId="9" xfId="0" applyNumberFormat="1" applyFont="1" applyFill="1" applyBorder="1"/>
    <xf numFmtId="166" fontId="10" fillId="5" borderId="9" xfId="0" applyNumberFormat="1" applyFont="1" applyFill="1" applyBorder="1"/>
    <xf numFmtId="4" fontId="10" fillId="5" borderId="9" xfId="0" applyNumberFormat="1" applyFont="1" applyFill="1" applyBorder="1"/>
    <xf numFmtId="169" fontId="10" fillId="5" borderId="9" xfId="0" applyNumberFormat="1" applyFont="1" applyFill="1" applyBorder="1"/>
    <xf numFmtId="165" fontId="16" fillId="5" borderId="9" xfId="0" applyNumberFormat="1" applyFont="1" applyFill="1" applyBorder="1"/>
    <xf numFmtId="165" fontId="10" fillId="5" borderId="9" xfId="0" applyNumberFormat="1" applyFont="1" applyFill="1" applyBorder="1"/>
    <xf numFmtId="165" fontId="13" fillId="5" borderId="12" xfId="0" applyNumberFormat="1" applyFont="1" applyFill="1" applyBorder="1"/>
    <xf numFmtId="0" fontId="18" fillId="0" borderId="13" xfId="0" applyFont="1" applyBorder="1" applyAlignment="1">
      <alignment horizontal="left"/>
    </xf>
    <xf numFmtId="0" fontId="13" fillId="0" borderId="13" xfId="0" applyFont="1" applyBorder="1" applyAlignment="1">
      <alignment horizontal="right"/>
    </xf>
    <xf numFmtId="0" fontId="13" fillId="0" borderId="0" xfId="0" applyFont="1" applyBorder="1"/>
    <xf numFmtId="4" fontId="13" fillId="0" borderId="0" xfId="0" applyNumberFormat="1" applyFont="1" applyBorder="1"/>
    <xf numFmtId="4" fontId="11" fillId="0" borderId="0" xfId="0" applyNumberFormat="1" applyFont="1" applyBorder="1"/>
    <xf numFmtId="170" fontId="10" fillId="0" borderId="0" xfId="0" applyNumberFormat="1" applyFont="1" applyBorder="1"/>
    <xf numFmtId="165" fontId="8" fillId="0" borderId="0" xfId="0" applyNumberFormat="1" applyFont="1" applyBorder="1"/>
    <xf numFmtId="0" fontId="8" fillId="0" borderId="15" xfId="0" applyFont="1"/>
    <xf numFmtId="0" fontId="16" fillId="0" borderId="0" xfId="0" applyFont="1" applyBorder="1"/>
    <xf numFmtId="172" fontId="16" fillId="0" borderId="0" xfId="0" applyNumberFormat="1" applyFont="1" applyBorder="1"/>
    <xf numFmtId="0" fontId="16" fillId="0" borderId="15" xfId="0" applyFont="1"/>
    <xf numFmtId="4" fontId="16" fillId="0" borderId="0" xfId="0" applyNumberFormat="1" applyFont="1" applyBorder="1"/>
    <xf numFmtId="166" fontId="16" fillId="0" borderId="0" xfId="0" applyNumberFormat="1" applyFont="1" applyBorder="1"/>
    <xf numFmtId="4" fontId="10" fillId="0" borderId="0" xfId="0" applyNumberFormat="1" applyFont="1" applyBorder="1"/>
    <xf numFmtId="165" fontId="11" fillId="0" borderId="0" xfId="0" applyNumberFormat="1" applyFont="1" applyBorder="1"/>
    <xf numFmtId="165" fontId="16" fillId="0" borderId="0" xfId="0" applyNumberFormat="1" applyFont="1" applyBorder="1"/>
    <xf numFmtId="169" fontId="11" fillId="0" borderId="0" xfId="0" applyNumberFormat="1" applyFont="1" applyBorder="1"/>
    <xf numFmtId="169" fontId="10" fillId="0" borderId="0" xfId="0" applyNumberFormat="1" applyFont="1" applyBorder="1"/>
    <xf numFmtId="165" fontId="10" fillId="0" borderId="0" xfId="0" applyNumberFormat="1" applyFont="1" applyBorder="1"/>
    <xf numFmtId="170" fontId="16" fillId="0" borderId="0" xfId="0" applyNumberFormat="1" applyFont="1" applyBorder="1"/>
    <xf numFmtId="0" fontId="10" fillId="0" borderId="0" xfId="0" applyFont="1" applyBorder="1"/>
    <xf numFmtId="165" fontId="12" fillId="0" borderId="0" xfId="0" applyNumberFormat="1" applyFont="1" applyBorder="1"/>
    <xf numFmtId="0" fontId="11" fillId="0" borderId="0" xfId="0" applyFont="1" applyBorder="1"/>
    <xf numFmtId="173" fontId="16" fillId="0" borderId="0" xfId="0" applyNumberFormat="1" applyFont="1" applyBorder="1"/>
    <xf numFmtId="0" fontId="13" fillId="0" borderId="15" xfId="0" applyFont="1" applyAlignment="1">
      <alignment horizontal="center"/>
    </xf>
    <xf numFmtId="0" fontId="0" fillId="0" borderId="0" xfId="0" applyBorder="1"/>
    <xf numFmtId="0" fontId="13" fillId="0" borderId="15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workbookViewId="0">
      <selection activeCell="H22" sqref="H22"/>
    </sheetView>
  </sheetViews>
  <sheetFormatPr baseColWidth="10" defaultRowHeight="16"/>
  <cols>
    <col min="1" max="1" width="37.5" bestFit="1" customWidth="1"/>
    <col min="2" max="2" width="68.83203125" bestFit="1" customWidth="1"/>
  </cols>
  <sheetData>
    <row r="1" spans="1:4" ht="18" customHeight="1">
      <c r="A1" s="15"/>
      <c r="B1" s="93" t="s">
        <v>0</v>
      </c>
      <c r="C1" s="15"/>
      <c r="D1" s="15"/>
    </row>
    <row r="2" spans="1:4">
      <c r="A2" s="15"/>
      <c r="B2" s="15"/>
      <c r="C2" s="15"/>
      <c r="D2" s="15"/>
    </row>
    <row r="3" spans="1:4" ht="18" customHeight="1">
      <c r="A3" s="99" t="s">
        <v>1</v>
      </c>
      <c r="B3" s="99" t="s">
        <v>2</v>
      </c>
      <c r="C3" s="15"/>
      <c r="D3" s="15"/>
    </row>
    <row r="4" spans="1:4" ht="18" customHeight="1">
      <c r="A4" s="99" t="s">
        <v>3</v>
      </c>
      <c r="B4" s="99" t="s">
        <v>4</v>
      </c>
      <c r="C4" s="15"/>
      <c r="D4" s="15"/>
    </row>
    <row r="5" spans="1:4" ht="18" customHeight="1">
      <c r="A5" s="99" t="s">
        <v>5</v>
      </c>
      <c r="B5" s="99" t="s">
        <v>6</v>
      </c>
      <c r="C5" s="15"/>
      <c r="D5" s="15"/>
    </row>
    <row r="6" spans="1:4" ht="18" customHeight="1">
      <c r="A6" s="99" t="s">
        <v>7</v>
      </c>
      <c r="B6" s="100">
        <f ca="1">TODAY()</f>
        <v>46196</v>
      </c>
      <c r="C6" s="15"/>
      <c r="D6" s="15"/>
    </row>
    <row r="7" spans="1:4" ht="18" customHeight="1">
      <c r="A7" s="99" t="s">
        <v>8</v>
      </c>
      <c r="B7" s="99" t="s">
        <v>9</v>
      </c>
      <c r="C7" s="15"/>
      <c r="D7" s="15"/>
    </row>
    <row r="8" spans="1:4" ht="18" customHeight="1">
      <c r="A8" s="99" t="s">
        <v>10</v>
      </c>
      <c r="B8" s="95">
        <f>WACC!B14</f>
        <v>64.14</v>
      </c>
      <c r="C8" s="15"/>
      <c r="D8" s="15"/>
    </row>
    <row r="9" spans="1:4" ht="18" customHeight="1">
      <c r="A9" s="101" t="s">
        <v>11</v>
      </c>
      <c r="B9" s="102">
        <f>B16</f>
        <v>107.90736770711436</v>
      </c>
      <c r="C9" s="15"/>
      <c r="D9" s="15"/>
    </row>
    <row r="10" spans="1:4" ht="18" customHeight="1">
      <c r="A10" s="99" t="s">
        <v>12</v>
      </c>
      <c r="B10" s="103">
        <f>B9/B8-1</f>
        <v>0.68237243073143694</v>
      </c>
      <c r="C10" s="15"/>
      <c r="D10" s="15"/>
    </row>
    <row r="11" spans="1:4" ht="18" customHeight="1">
      <c r="A11" s="99" t="s">
        <v>13</v>
      </c>
      <c r="B11" s="15"/>
      <c r="C11" s="15"/>
      <c r="D11" s="15"/>
    </row>
    <row r="12" spans="1:4" ht="18" customHeight="1">
      <c r="A12" s="99" t="s">
        <v>14</v>
      </c>
      <c r="B12" s="95">
        <f>(Bridge!B10+Bridge!C10)/2</f>
        <v>93.938556108389236</v>
      </c>
      <c r="C12" s="48">
        <v>0.5</v>
      </c>
      <c r="D12" s="15"/>
    </row>
    <row r="13" spans="1:4" ht="18" customHeight="1">
      <c r="A13" s="99" t="s">
        <v>15</v>
      </c>
      <c r="B13" s="95">
        <f>Trading_Comps!B25</f>
        <v>105.05703657634302</v>
      </c>
      <c r="C13" s="48">
        <v>0.35</v>
      </c>
      <c r="D13" s="15"/>
    </row>
    <row r="14" spans="1:4" ht="18" customHeight="1">
      <c r="A14" s="99" t="s">
        <v>16</v>
      </c>
      <c r="B14" s="95">
        <f>Precedent_Transactions!B21</f>
        <v>161.12084567466459</v>
      </c>
      <c r="C14" s="48">
        <v>0.15</v>
      </c>
      <c r="D14" s="15"/>
    </row>
    <row r="15" spans="1:4" ht="18" customHeight="1">
      <c r="A15" s="99" t="s">
        <v>17</v>
      </c>
      <c r="B15" s="103">
        <f>SUM(C12:C14)</f>
        <v>1</v>
      </c>
      <c r="C15" s="15"/>
      <c r="D15" s="15"/>
    </row>
    <row r="16" spans="1:4" ht="18" customHeight="1">
      <c r="A16" s="99" t="s">
        <v>11</v>
      </c>
      <c r="B16" s="102">
        <f>SUMPRODUCT(B12:B14,C12:C14)</f>
        <v>107.90736770711436</v>
      </c>
      <c r="C16" s="15"/>
      <c r="D16" s="15"/>
    </row>
    <row r="17" spans="1:4" ht="18" customHeight="1">
      <c r="A17" s="99" t="s">
        <v>18</v>
      </c>
      <c r="B17" s="15"/>
      <c r="C17" s="15"/>
      <c r="D17" s="15"/>
    </row>
    <row r="18" spans="1:4" ht="18" customHeight="1">
      <c r="A18" s="99" t="s">
        <v>19</v>
      </c>
      <c r="B18" s="95">
        <f>Bridge!B10</f>
        <v>88.463227433777448</v>
      </c>
      <c r="C18" s="15"/>
      <c r="D18" s="15"/>
    </row>
    <row r="19" spans="1:4" ht="18" customHeight="1">
      <c r="A19" s="99" t="s">
        <v>20</v>
      </c>
      <c r="B19" s="95">
        <f>Bridge!C10</f>
        <v>99.413884783001009</v>
      </c>
      <c r="C19" s="15"/>
      <c r="D19" s="15"/>
    </row>
    <row r="20" spans="1:4" ht="18" customHeight="1">
      <c r="A20" s="99" t="s">
        <v>15</v>
      </c>
      <c r="B20" s="95">
        <f>Trading_Comps!B25</f>
        <v>105.05703657634302</v>
      </c>
      <c r="C20" s="15"/>
      <c r="D20" s="15"/>
    </row>
    <row r="21" spans="1:4" ht="18" customHeight="1">
      <c r="A21" s="99" t="s">
        <v>16</v>
      </c>
      <c r="B21" s="95">
        <f>Precedent_Transactions!B21</f>
        <v>161.12084567466459</v>
      </c>
      <c r="C21" s="15"/>
      <c r="D21" s="15"/>
    </row>
    <row r="22" spans="1:4" ht="19" customHeight="1">
      <c r="A22" s="99" t="s">
        <v>21</v>
      </c>
      <c r="B22" s="95">
        <f>Data!B6</f>
        <v>58.6</v>
      </c>
      <c r="C22" s="95">
        <f>Data!B7</f>
        <v>107.45</v>
      </c>
      <c r="D22" s="15"/>
    </row>
    <row r="23" spans="1:4" ht="18" customHeight="1">
      <c r="A23" s="99" t="s">
        <v>22</v>
      </c>
      <c r="B23" s="104">
        <v>86.5</v>
      </c>
      <c r="C23" s="15"/>
      <c r="D23" s="15"/>
    </row>
    <row r="24" spans="1:4" ht="18" customHeight="1">
      <c r="A24" s="99" t="s">
        <v>23</v>
      </c>
      <c r="B24" s="15"/>
      <c r="C24" s="15"/>
      <c r="D24" s="15"/>
    </row>
    <row r="25" spans="1:4" ht="18" customHeight="1">
      <c r="A25" s="99" t="s">
        <v>24</v>
      </c>
      <c r="B25" s="105">
        <f>WACC!B16</f>
        <v>16136.982600000001</v>
      </c>
      <c r="C25" s="15"/>
      <c r="D25" s="15"/>
    </row>
    <row r="26" spans="1:4" ht="18" customHeight="1">
      <c r="A26" s="99" t="s">
        <v>25</v>
      </c>
      <c r="B26" s="105">
        <f>WACC!B17</f>
        <v>11168</v>
      </c>
      <c r="C26" s="15"/>
      <c r="D26" s="15"/>
    </row>
    <row r="27" spans="1:4" ht="18" customHeight="1">
      <c r="A27" s="99" t="s">
        <v>26</v>
      </c>
      <c r="B27" s="106">
        <f>B25+B26</f>
        <v>27304.982600000003</v>
      </c>
      <c r="C27" s="15"/>
      <c r="D27" s="15"/>
    </row>
    <row r="28" spans="1:4" ht="18" customHeight="1">
      <c r="A28" s="99" t="s">
        <v>27</v>
      </c>
      <c r="B28" s="107">
        <f>WACC!B15</f>
        <v>251.59</v>
      </c>
      <c r="C28" s="15"/>
      <c r="D28" s="15"/>
    </row>
    <row r="29" spans="1:4" ht="18" customHeight="1">
      <c r="A29" s="99" t="s">
        <v>28</v>
      </c>
      <c r="B29" s="99" t="s">
        <v>29</v>
      </c>
      <c r="C29" s="15"/>
      <c r="D29" s="15"/>
    </row>
    <row r="30" spans="1:4">
      <c r="A30" s="15"/>
      <c r="B30" s="15"/>
      <c r="C30" s="15"/>
      <c r="D30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pane ySplit="1" topLeftCell="A2" activePane="bottomLeft" state="frozen"/>
      <selection pane="bottomLeft" activeCell="A18" sqref="A18"/>
    </sheetView>
  </sheetViews>
  <sheetFormatPr baseColWidth="10" defaultRowHeight="16"/>
  <cols>
    <col min="1" max="1" width="23" bestFit="1" customWidth="1"/>
    <col min="2" max="2" width="14" bestFit="1" customWidth="1"/>
    <col min="3" max="3" width="11" bestFit="1" customWidth="1"/>
    <col min="4" max="4" width="10" customWidth="1"/>
    <col min="5" max="5" width="21" customWidth="1"/>
    <col min="6" max="6" width="22" bestFit="1" customWidth="1"/>
    <col min="7" max="7" width="10" customWidth="1"/>
  </cols>
  <sheetData>
    <row r="1" spans="1:7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>
      <c r="A2" s="49" t="s">
        <v>37</v>
      </c>
      <c r="B2" s="50">
        <v>64.14</v>
      </c>
      <c r="C2" s="51" t="s">
        <v>38</v>
      </c>
      <c r="D2" s="51" t="s">
        <v>39</v>
      </c>
      <c r="E2" s="5">
        <v>46192</v>
      </c>
      <c r="F2" s="6" t="s">
        <v>40</v>
      </c>
      <c r="G2" s="51" t="s">
        <v>41</v>
      </c>
    </row>
    <row r="3" spans="1:7">
      <c r="A3" s="52" t="s">
        <v>42</v>
      </c>
      <c r="B3" s="53">
        <v>251.59</v>
      </c>
      <c r="C3" s="54" t="s">
        <v>43</v>
      </c>
      <c r="D3" s="8"/>
      <c r="E3" s="9"/>
      <c r="F3" s="10" t="s">
        <v>44</v>
      </c>
      <c r="G3" s="54" t="s">
        <v>45</v>
      </c>
    </row>
    <row r="4" spans="1:7">
      <c r="A4" s="49" t="s">
        <v>46</v>
      </c>
      <c r="B4" s="49" t="s">
        <v>47</v>
      </c>
      <c r="C4" s="4"/>
      <c r="D4" s="4"/>
      <c r="E4" s="5">
        <v>46192</v>
      </c>
      <c r="F4" s="6" t="s">
        <v>40</v>
      </c>
      <c r="G4" s="51" t="s">
        <v>45</v>
      </c>
    </row>
    <row r="5" spans="1:7">
      <c r="A5" s="52" t="s">
        <v>48</v>
      </c>
      <c r="B5" s="52" t="s">
        <v>49</v>
      </c>
      <c r="C5" s="8"/>
      <c r="D5" s="8"/>
      <c r="E5" s="9"/>
      <c r="F5" s="10" t="s">
        <v>40</v>
      </c>
      <c r="G5" s="54" t="s">
        <v>45</v>
      </c>
    </row>
    <row r="6" spans="1:7">
      <c r="A6" s="49" t="s">
        <v>50</v>
      </c>
      <c r="B6" s="50">
        <v>58.6</v>
      </c>
      <c r="C6" s="51" t="s">
        <v>38</v>
      </c>
      <c r="D6" s="51" t="s">
        <v>39</v>
      </c>
      <c r="E6" s="5">
        <v>46192</v>
      </c>
      <c r="F6" s="6" t="s">
        <v>51</v>
      </c>
      <c r="G6" s="51" t="s">
        <v>41</v>
      </c>
    </row>
    <row r="7" spans="1:7">
      <c r="A7" s="52" t="s">
        <v>52</v>
      </c>
      <c r="B7" s="55">
        <v>107.45</v>
      </c>
      <c r="C7" s="54" t="s">
        <v>38</v>
      </c>
      <c r="D7" s="54" t="s">
        <v>39</v>
      </c>
      <c r="E7" s="11">
        <v>46192</v>
      </c>
      <c r="F7" s="10" t="s">
        <v>51</v>
      </c>
      <c r="G7" s="54" t="s">
        <v>41</v>
      </c>
    </row>
    <row r="8" spans="1:7">
      <c r="A8" s="49" t="s">
        <v>53</v>
      </c>
      <c r="B8" s="56">
        <v>0.38</v>
      </c>
      <c r="C8" s="4"/>
      <c r="D8" s="4"/>
      <c r="E8" s="5">
        <v>46192</v>
      </c>
      <c r="F8" s="6" t="s">
        <v>51</v>
      </c>
      <c r="G8" s="51" t="s">
        <v>41</v>
      </c>
    </row>
    <row r="9" spans="1:7">
      <c r="A9" s="52" t="s">
        <v>54</v>
      </c>
      <c r="B9" s="55">
        <v>4.7</v>
      </c>
      <c r="C9" s="54" t="s">
        <v>38</v>
      </c>
      <c r="D9" s="54" t="s">
        <v>39</v>
      </c>
      <c r="E9" s="12" t="s">
        <v>55</v>
      </c>
      <c r="F9" s="10" t="s">
        <v>56</v>
      </c>
      <c r="G9" s="54" t="s">
        <v>45</v>
      </c>
    </row>
    <row r="10" spans="1:7">
      <c r="A10" s="49" t="s">
        <v>57</v>
      </c>
      <c r="B10" s="57">
        <v>11168</v>
      </c>
      <c r="C10" s="51" t="s">
        <v>43</v>
      </c>
      <c r="D10" s="51" t="s">
        <v>39</v>
      </c>
      <c r="E10" s="5">
        <v>46022</v>
      </c>
      <c r="F10" s="6" t="s">
        <v>56</v>
      </c>
      <c r="G10" s="51" t="s">
        <v>45</v>
      </c>
    </row>
    <row r="11" spans="1:7">
      <c r="A11" s="52" t="s">
        <v>58</v>
      </c>
      <c r="B11" s="58">
        <v>3.2</v>
      </c>
      <c r="C11" s="54" t="s">
        <v>59</v>
      </c>
      <c r="D11" s="8"/>
      <c r="E11" s="9" t="s">
        <v>55</v>
      </c>
      <c r="F11" s="10" t="s">
        <v>60</v>
      </c>
      <c r="G11" s="54" t="s">
        <v>45</v>
      </c>
    </row>
    <row r="12" spans="1:7">
      <c r="A12" s="49" t="s">
        <v>61</v>
      </c>
      <c r="B12" s="49" t="s">
        <v>62</v>
      </c>
      <c r="C12" s="51" t="s">
        <v>59</v>
      </c>
      <c r="D12" s="4"/>
      <c r="E12" s="13" t="s">
        <v>63</v>
      </c>
      <c r="F12" s="6" t="s">
        <v>64</v>
      </c>
      <c r="G12" s="51" t="s">
        <v>45</v>
      </c>
    </row>
    <row r="13" spans="1:7">
      <c r="A13" s="52" t="s">
        <v>65</v>
      </c>
      <c r="B13" s="58">
        <v>3.74</v>
      </c>
      <c r="C13" s="54" t="s">
        <v>59</v>
      </c>
      <c r="D13" s="8"/>
      <c r="E13" s="11">
        <v>46192</v>
      </c>
      <c r="F13" s="10" t="s">
        <v>66</v>
      </c>
      <c r="G13" s="54" t="s">
        <v>41</v>
      </c>
    </row>
    <row r="14" spans="1:7">
      <c r="A14" s="49" t="s">
        <v>67</v>
      </c>
      <c r="B14" s="59">
        <v>5.5</v>
      </c>
      <c r="C14" s="51" t="s">
        <v>59</v>
      </c>
      <c r="D14" s="4"/>
      <c r="E14" s="13" t="s">
        <v>68</v>
      </c>
      <c r="F14" s="6" t="s">
        <v>69</v>
      </c>
      <c r="G14" s="51" t="s">
        <v>41</v>
      </c>
    </row>
    <row r="15" spans="1:7">
      <c r="A15" s="52" t="s">
        <v>70</v>
      </c>
      <c r="B15" s="7"/>
      <c r="C15" s="54" t="s">
        <v>59</v>
      </c>
      <c r="D15" s="8"/>
      <c r="E15" s="9" t="s">
        <v>55</v>
      </c>
      <c r="F15" s="10" t="s">
        <v>44</v>
      </c>
      <c r="G15" s="54" t="s">
        <v>45</v>
      </c>
    </row>
    <row r="16" spans="1:7">
      <c r="A16" s="49" t="s">
        <v>71</v>
      </c>
      <c r="B16" s="49" t="s">
        <v>72</v>
      </c>
      <c r="C16" s="4"/>
      <c r="D16" s="4"/>
      <c r="E16" s="5">
        <v>45838</v>
      </c>
      <c r="F16" s="6" t="s">
        <v>73</v>
      </c>
      <c r="G16" s="51" t="s">
        <v>45</v>
      </c>
    </row>
    <row r="17" spans="1:7">
      <c r="A17" s="52" t="s">
        <v>74</v>
      </c>
      <c r="B17" s="52" t="s">
        <v>75</v>
      </c>
      <c r="C17" s="8"/>
      <c r="D17" s="8"/>
      <c r="E17" s="11">
        <v>45838</v>
      </c>
      <c r="F17" s="10" t="s">
        <v>73</v>
      </c>
      <c r="G17" s="5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>
      <pane xSplit="1" ySplit="3" topLeftCell="B4" activePane="bottomRight" state="frozen"/>
      <selection pane="topRight"/>
      <selection pane="bottomLeft"/>
      <selection pane="bottomRight" activeCell="E30" sqref="E30"/>
    </sheetView>
  </sheetViews>
  <sheetFormatPr baseColWidth="10" defaultRowHeight="16"/>
  <cols>
    <col min="1" max="1" width="34" bestFit="1" customWidth="1"/>
    <col min="2" max="6" width="11" customWidth="1"/>
  </cols>
  <sheetData>
    <row r="1" spans="1:7">
      <c r="B1" s="115" t="s">
        <v>76</v>
      </c>
      <c r="C1" s="116"/>
      <c r="D1" s="116"/>
      <c r="E1" s="116"/>
      <c r="F1" s="116"/>
    </row>
    <row r="3" spans="1:7" ht="18" customHeight="1">
      <c r="A3" s="60" t="s">
        <v>77</v>
      </c>
      <c r="B3" s="61" t="s">
        <v>78</v>
      </c>
      <c r="C3" s="61" t="s">
        <v>79</v>
      </c>
      <c r="D3" s="61" t="s">
        <v>80</v>
      </c>
      <c r="E3" s="61" t="s">
        <v>81</v>
      </c>
      <c r="F3" s="61" t="s">
        <v>82</v>
      </c>
      <c r="G3" s="14"/>
    </row>
    <row r="4" spans="1:7">
      <c r="A4" s="29" t="s">
        <v>83</v>
      </c>
      <c r="B4" s="15"/>
      <c r="C4" s="15"/>
      <c r="D4" s="15"/>
      <c r="E4" s="15"/>
      <c r="F4" s="15"/>
    </row>
    <row r="5" spans="1:7" ht="18" customHeight="1">
      <c r="A5" s="34" t="s">
        <v>84</v>
      </c>
      <c r="B5" s="62">
        <v>-0.09</v>
      </c>
      <c r="C5" s="62">
        <v>0.02</v>
      </c>
      <c r="D5" s="62">
        <v>0.04</v>
      </c>
      <c r="E5" s="62">
        <v>0.05</v>
      </c>
      <c r="F5" s="62">
        <v>0.04</v>
      </c>
    </row>
    <row r="6" spans="1:7" ht="18" customHeight="1">
      <c r="A6" s="34" t="s">
        <v>85</v>
      </c>
      <c r="B6" s="62">
        <v>-0.01</v>
      </c>
      <c r="C6" s="62">
        <v>0.03</v>
      </c>
      <c r="D6" s="62">
        <v>0.05</v>
      </c>
      <c r="E6" s="62">
        <v>0.06</v>
      </c>
      <c r="F6" s="63">
        <v>0.05</v>
      </c>
    </row>
    <row r="7" spans="1:7" ht="18" customHeight="1">
      <c r="A7" s="34" t="s">
        <v>86</v>
      </c>
      <c r="B7" s="62">
        <v>-0.01</v>
      </c>
      <c r="C7" s="62">
        <v>0.01</v>
      </c>
      <c r="D7" s="62">
        <v>0.02</v>
      </c>
      <c r="E7" s="62">
        <v>0.02</v>
      </c>
      <c r="F7" s="63">
        <v>0.02</v>
      </c>
    </row>
    <row r="8" spans="1:7">
      <c r="A8" s="29" t="s">
        <v>87</v>
      </c>
      <c r="B8" s="15"/>
      <c r="C8" s="15"/>
      <c r="D8" s="15"/>
      <c r="E8" s="15"/>
      <c r="F8" s="15"/>
    </row>
    <row r="9" spans="1:7" ht="18" customHeight="1">
      <c r="A9" s="34" t="s">
        <v>88</v>
      </c>
      <c r="B9" s="63">
        <v>0.59</v>
      </c>
      <c r="C9" s="63">
        <v>0.59</v>
      </c>
      <c r="D9" s="63">
        <v>0.59499999999999997</v>
      </c>
      <c r="E9" s="63">
        <v>0.59499999999999997</v>
      </c>
      <c r="F9" s="63">
        <v>0.6</v>
      </c>
    </row>
    <row r="10" spans="1:7" ht="18" customHeight="1">
      <c r="A10" s="34" t="s">
        <v>89</v>
      </c>
      <c r="B10" s="63">
        <v>0.16</v>
      </c>
      <c r="C10" s="63">
        <v>0.16</v>
      </c>
      <c r="D10" s="63">
        <v>0.16</v>
      </c>
      <c r="E10" s="63">
        <v>0.16</v>
      </c>
      <c r="F10" s="63">
        <v>0.16</v>
      </c>
    </row>
    <row r="11" spans="1:7" ht="18" customHeight="1">
      <c r="A11" s="34" t="s">
        <v>90</v>
      </c>
      <c r="B11" s="63">
        <v>0.16</v>
      </c>
      <c r="C11" s="63">
        <v>0.157</v>
      </c>
      <c r="D11" s="63">
        <v>0.155</v>
      </c>
      <c r="E11" s="63">
        <v>0.152</v>
      </c>
      <c r="F11" s="63">
        <v>0.15</v>
      </c>
    </row>
    <row r="12" spans="1:7" ht="18" customHeight="1">
      <c r="A12" s="29" t="s">
        <v>91</v>
      </c>
      <c r="B12" s="16"/>
      <c r="C12" s="16"/>
      <c r="D12" s="16"/>
      <c r="E12" s="16"/>
      <c r="F12" s="16"/>
    </row>
    <row r="13" spans="1:7" ht="18" customHeight="1">
      <c r="A13" s="34" t="s">
        <v>92</v>
      </c>
      <c r="B13" s="63">
        <v>3.7999999999999999E-2</v>
      </c>
      <c r="C13" s="63">
        <v>3.7999999999999999E-2</v>
      </c>
      <c r="D13" s="63">
        <v>3.7999999999999999E-2</v>
      </c>
      <c r="E13" s="63">
        <v>3.7999999999999999E-2</v>
      </c>
      <c r="F13" s="63">
        <v>3.7999999999999999E-2</v>
      </c>
    </row>
    <row r="14" spans="1:7" ht="18" customHeight="1">
      <c r="A14" s="34" t="s">
        <v>93</v>
      </c>
      <c r="B14" s="63">
        <v>5.5E-2</v>
      </c>
      <c r="C14" s="63">
        <v>5.2999999999999999E-2</v>
      </c>
      <c r="D14" s="63">
        <v>0.05</v>
      </c>
      <c r="E14" s="63">
        <v>0.05</v>
      </c>
      <c r="F14" s="63">
        <v>0.05</v>
      </c>
    </row>
    <row r="15" spans="1:7" ht="18" customHeight="1">
      <c r="A15" s="34" t="s">
        <v>94</v>
      </c>
      <c r="B15" s="63">
        <v>-2.5000000000000001E-2</v>
      </c>
      <c r="C15" s="63">
        <v>-2.5000000000000001E-2</v>
      </c>
      <c r="D15" s="63">
        <v>-0.02</v>
      </c>
      <c r="E15" s="63">
        <v>-0.02</v>
      </c>
      <c r="F15" s="63">
        <v>-0.02</v>
      </c>
    </row>
    <row r="16" spans="1:7" ht="18" customHeight="1">
      <c r="A16" s="34" t="s">
        <v>95</v>
      </c>
      <c r="B16" s="63">
        <v>0.25</v>
      </c>
      <c r="C16" s="63">
        <v>0.25</v>
      </c>
      <c r="D16" s="63">
        <v>0.25</v>
      </c>
      <c r="E16" s="63">
        <v>0.25</v>
      </c>
      <c r="F16" s="63">
        <v>0.25</v>
      </c>
    </row>
    <row r="17" spans="1:6" ht="18" customHeight="1">
      <c r="A17" s="29" t="s">
        <v>96</v>
      </c>
      <c r="B17" s="16"/>
      <c r="C17" s="15"/>
      <c r="D17" s="15"/>
      <c r="E17" s="15"/>
      <c r="F17" s="15"/>
    </row>
    <row r="18" spans="1:6" ht="18" customHeight="1">
      <c r="A18" s="34" t="s">
        <v>97</v>
      </c>
      <c r="B18" s="63">
        <v>1.4999999999999999E-2</v>
      </c>
      <c r="C18" s="15"/>
      <c r="D18" s="15"/>
      <c r="E18" s="15"/>
      <c r="F18" s="15"/>
    </row>
    <row r="19" spans="1:6" ht="18" customHeight="1">
      <c r="A19" s="34" t="s">
        <v>98</v>
      </c>
      <c r="B19" s="64">
        <v>11</v>
      </c>
      <c r="C19" s="15"/>
      <c r="D19" s="15"/>
      <c r="E19" s="15"/>
      <c r="F19" s="15"/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8"/>
  <sheetViews>
    <sheetView workbookViewId="0">
      <pane xSplit="1" ySplit="3" topLeftCell="B4" activePane="bottomRight" state="frozen"/>
      <selection pane="topRight"/>
      <selection pane="bottomLeft"/>
      <selection pane="bottomRight" activeCell="B26" sqref="B26"/>
    </sheetView>
  </sheetViews>
  <sheetFormatPr baseColWidth="10" defaultRowHeight="16"/>
  <cols>
    <col min="1" max="1" width="42" bestFit="1" customWidth="1"/>
    <col min="2" max="4" width="26.33203125" customWidth="1"/>
  </cols>
  <sheetData>
    <row r="1" spans="1:4">
      <c r="A1" s="1"/>
      <c r="B1" s="117" t="s">
        <v>99</v>
      </c>
      <c r="C1" s="116"/>
      <c r="D1" s="116"/>
    </row>
    <row r="3" spans="1:4">
      <c r="A3" s="65" t="s">
        <v>100</v>
      </c>
      <c r="B3" s="66" t="s">
        <v>101</v>
      </c>
      <c r="C3" s="66" t="s">
        <v>102</v>
      </c>
      <c r="D3" s="66" t="s">
        <v>55</v>
      </c>
    </row>
    <row r="4" spans="1:4">
      <c r="A4" s="34" t="s">
        <v>103</v>
      </c>
      <c r="B4" s="67">
        <v>12137</v>
      </c>
      <c r="C4" s="67">
        <v>11598</v>
      </c>
      <c r="D4" s="67">
        <v>10959</v>
      </c>
    </row>
    <row r="5" spans="1:4">
      <c r="A5" s="34" t="s">
        <v>104</v>
      </c>
      <c r="B5" s="67">
        <v>-4891</v>
      </c>
      <c r="C5" s="67">
        <v>-4623</v>
      </c>
      <c r="D5" s="67">
        <v>-4443</v>
      </c>
    </row>
    <row r="6" spans="1:4">
      <c r="A6" s="34" t="s">
        <v>105</v>
      </c>
      <c r="B6" s="68">
        <f>B4+B5</f>
        <v>7246</v>
      </c>
      <c r="C6" s="68">
        <f>C4+C5</f>
        <v>6975</v>
      </c>
      <c r="D6" s="68">
        <f>D4+D5</f>
        <v>6516</v>
      </c>
    </row>
    <row r="7" spans="1:4">
      <c r="A7" s="34" t="s">
        <v>106</v>
      </c>
      <c r="B7" s="67">
        <v>-1939</v>
      </c>
      <c r="C7" s="67">
        <v>-1872</v>
      </c>
      <c r="D7" s="67">
        <v>-1679</v>
      </c>
    </row>
    <row r="8" spans="1:4">
      <c r="A8" s="29" t="s">
        <v>107</v>
      </c>
      <c r="B8" s="69">
        <f>B6+B7</f>
        <v>5307</v>
      </c>
      <c r="C8" s="69">
        <f>C6+C7</f>
        <v>5103</v>
      </c>
      <c r="D8" s="69">
        <f>D6+D7</f>
        <v>4837</v>
      </c>
    </row>
    <row r="9" spans="1:4">
      <c r="A9" s="34" t="s">
        <v>108</v>
      </c>
      <c r="B9" s="67">
        <v>-1959</v>
      </c>
      <c r="C9" s="67">
        <v>-1987</v>
      </c>
      <c r="D9" s="67">
        <v>-1886</v>
      </c>
    </row>
    <row r="10" spans="1:4">
      <c r="A10" s="29" t="s">
        <v>109</v>
      </c>
      <c r="B10" s="69">
        <f>B8+B9</f>
        <v>3348</v>
      </c>
      <c r="C10" s="69">
        <f>C8+C9</f>
        <v>3116</v>
      </c>
      <c r="D10" s="69">
        <f>D8+D9</f>
        <v>2951</v>
      </c>
    </row>
    <row r="11" spans="1:4">
      <c r="A11" s="34" t="s">
        <v>110</v>
      </c>
      <c r="B11" s="67">
        <v>-83</v>
      </c>
      <c r="C11" s="67">
        <v>-392</v>
      </c>
      <c r="D11" s="67">
        <v>-208</v>
      </c>
    </row>
    <row r="12" spans="1:4">
      <c r="A12" s="29" t="s">
        <v>111</v>
      </c>
      <c r="B12" s="69">
        <f>B10+B11</f>
        <v>3265</v>
      </c>
      <c r="C12" s="69">
        <f>C10+C11</f>
        <v>2724</v>
      </c>
      <c r="D12" s="69">
        <f>D10+D11</f>
        <v>2743</v>
      </c>
    </row>
    <row r="13" spans="1:4">
      <c r="A13" s="34" t="s">
        <v>112</v>
      </c>
      <c r="B13" s="67">
        <v>-327</v>
      </c>
      <c r="C13" s="67">
        <v>-437</v>
      </c>
      <c r="D13" s="67">
        <v>-492</v>
      </c>
    </row>
    <row r="14" spans="1:4">
      <c r="A14" s="34" t="s">
        <v>113</v>
      </c>
      <c r="B14" s="67">
        <v>-651</v>
      </c>
      <c r="C14" s="67">
        <v>-766</v>
      </c>
      <c r="D14" s="67">
        <v>-574</v>
      </c>
    </row>
    <row r="15" spans="1:4">
      <c r="A15" s="34" t="s">
        <v>114</v>
      </c>
      <c r="B15" s="67">
        <v>-4</v>
      </c>
      <c r="C15" s="67">
        <v>-7</v>
      </c>
      <c r="D15" s="67">
        <v>-3</v>
      </c>
    </row>
    <row r="16" spans="1:4">
      <c r="A16" s="29" t="s">
        <v>115</v>
      </c>
      <c r="B16" s="69">
        <f>B12+B13+B14+B15</f>
        <v>2283</v>
      </c>
      <c r="C16" s="69">
        <f>C12+C13+C14+C15</f>
        <v>1514</v>
      </c>
      <c r="D16" s="69">
        <f>D12+D13+D14+D15</f>
        <v>1674</v>
      </c>
    </row>
    <row r="17" spans="1:4">
      <c r="A17" s="2" t="s">
        <v>116</v>
      </c>
      <c r="B17" s="67">
        <v>21</v>
      </c>
      <c r="C17" s="67">
        <v>38</v>
      </c>
      <c r="D17" s="67">
        <v>48</v>
      </c>
    </row>
    <row r="18" spans="1:4">
      <c r="A18" s="29" t="s">
        <v>117</v>
      </c>
      <c r="B18" s="69">
        <f>B16-B17</f>
        <v>2262</v>
      </c>
      <c r="C18" s="69">
        <f>C16-C17</f>
        <v>1476</v>
      </c>
      <c r="D18" s="69">
        <f>D16-D17</f>
        <v>1626</v>
      </c>
    </row>
    <row r="19" spans="1:4">
      <c r="A19" s="34" t="s">
        <v>118</v>
      </c>
      <c r="B19" s="70">
        <v>256.87799999999999</v>
      </c>
      <c r="C19" s="70">
        <v>253.18799999999999</v>
      </c>
      <c r="D19" s="70">
        <v>252.011</v>
      </c>
    </row>
    <row r="20" spans="1:4">
      <c r="A20" s="34" t="s">
        <v>119</v>
      </c>
      <c r="B20" s="71">
        <f>B18/B19</f>
        <v>8.8057365753392673</v>
      </c>
      <c r="C20" s="71">
        <f>C18/C19</f>
        <v>5.8296601734679374</v>
      </c>
      <c r="D20" s="71">
        <f>D18/D19</f>
        <v>6.4520993131252204</v>
      </c>
    </row>
    <row r="22" spans="1:4">
      <c r="A22" s="34" t="s">
        <v>120</v>
      </c>
      <c r="B22" s="67">
        <v>417</v>
      </c>
      <c r="C22" s="67">
        <v>441</v>
      </c>
      <c r="D22" s="67">
        <v>422</v>
      </c>
    </row>
    <row r="23" spans="1:4">
      <c r="A23" s="34" t="s">
        <v>121</v>
      </c>
      <c r="B23" s="68">
        <f>B10+B22</f>
        <v>3765</v>
      </c>
      <c r="C23" s="68">
        <f>C10+C22</f>
        <v>3557</v>
      </c>
      <c r="D23" s="68">
        <f>D10+D22</f>
        <v>3373</v>
      </c>
    </row>
    <row r="24" spans="1:4">
      <c r="A24" s="34" t="s">
        <v>122</v>
      </c>
      <c r="C24" s="72">
        <f>C4/B4-1</f>
        <v>-4.4409656422509713E-2</v>
      </c>
      <c r="D24" s="72">
        <f>D4/C4-1</f>
        <v>-5.5095706156233826E-2</v>
      </c>
    </row>
    <row r="25" spans="1:4">
      <c r="A25" s="34" t="s">
        <v>88</v>
      </c>
      <c r="B25" s="72">
        <f>B6/B4</f>
        <v>0.5970173848562248</v>
      </c>
      <c r="C25" s="72">
        <f>C6/C4</f>
        <v>0.60139679255043976</v>
      </c>
      <c r="D25" s="72">
        <f>D6/D4</f>
        <v>0.59457979742677247</v>
      </c>
    </row>
    <row r="26" spans="1:4">
      <c r="A26" s="34" t="s">
        <v>123</v>
      </c>
      <c r="B26" s="72">
        <f>B10/B4</f>
        <v>0.2758507044574442</v>
      </c>
      <c r="C26" s="72">
        <f>C10/C4</f>
        <v>0.26866701155371614</v>
      </c>
      <c r="D26" s="72">
        <f>D10/D4</f>
        <v>0.269276393831554</v>
      </c>
    </row>
    <row r="27" spans="1:4">
      <c r="A27" s="34" t="s">
        <v>124</v>
      </c>
      <c r="B27" s="72">
        <f>B23/B4</f>
        <v>0.31020845348933013</v>
      </c>
      <c r="C27" s="72">
        <f>C23/C4</f>
        <v>0.30669080876013105</v>
      </c>
      <c r="D27" s="72">
        <f>D23/D4</f>
        <v>0.30778355689387715</v>
      </c>
    </row>
    <row r="28" spans="1:4">
      <c r="A28" s="34" t="s">
        <v>125</v>
      </c>
      <c r="B28" s="72">
        <f>-B14/(B12+B13)</f>
        <v>0.22157930565010212</v>
      </c>
      <c r="C28" s="72">
        <f>-C14/(C12+C13)</f>
        <v>0.33493659816353299</v>
      </c>
      <c r="D28" s="72">
        <f>-D14/(D12+D13)</f>
        <v>0.25499777876499335</v>
      </c>
    </row>
  </sheetData>
  <mergeCells count="1">
    <mergeCell ref="B1:D1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1"/>
  <sheetViews>
    <sheetView tabSelected="1" workbookViewId="0">
      <pane xSplit="1" ySplit="3" topLeftCell="B35" activePane="bottomRight" state="frozen"/>
      <selection pane="topRight"/>
      <selection pane="bottomLeft"/>
      <selection pane="bottomRight" activeCell="F66" sqref="F66"/>
    </sheetView>
  </sheetViews>
  <sheetFormatPr baseColWidth="10" defaultRowHeight="16"/>
  <cols>
    <col min="1" max="1" width="42" bestFit="1" customWidth="1"/>
    <col min="2" max="7" width="12" customWidth="1"/>
    <col min="10" max="10" width="25.33203125" bestFit="1" customWidth="1"/>
  </cols>
  <sheetData>
    <row r="1" spans="1:11" ht="17" customHeight="1">
      <c r="B1" s="117" t="s">
        <v>126</v>
      </c>
      <c r="C1" s="116"/>
      <c r="D1" s="116"/>
      <c r="E1" s="116"/>
      <c r="F1" s="116"/>
      <c r="G1" s="116"/>
    </row>
    <row r="3" spans="1:11" ht="17" customHeight="1">
      <c r="A3" s="73" t="s">
        <v>127</v>
      </c>
      <c r="B3" s="74" t="s">
        <v>128</v>
      </c>
      <c r="C3" s="74" t="s">
        <v>78</v>
      </c>
      <c r="D3" s="74" t="s">
        <v>79</v>
      </c>
      <c r="E3" s="74" t="s">
        <v>80</v>
      </c>
      <c r="F3" s="74" t="s">
        <v>81</v>
      </c>
      <c r="G3" s="74" t="s">
        <v>82</v>
      </c>
    </row>
    <row r="4" spans="1:11" ht="18" customHeight="1">
      <c r="A4" s="29" t="s">
        <v>129</v>
      </c>
      <c r="B4" s="14"/>
      <c r="J4" s="14"/>
      <c r="K4" s="22"/>
    </row>
    <row r="5" spans="1:11" ht="18" customHeight="1">
      <c r="A5" s="34" t="s">
        <v>130</v>
      </c>
      <c r="B5" s="23">
        <v>3154</v>
      </c>
      <c r="J5" s="14"/>
      <c r="K5" s="20"/>
    </row>
    <row r="6" spans="1:11" ht="18" customHeight="1">
      <c r="A6" s="34" t="s">
        <v>131</v>
      </c>
      <c r="B6" s="23">
        <v>4635</v>
      </c>
      <c r="J6" s="14"/>
      <c r="K6" s="21"/>
    </row>
    <row r="7" spans="1:11" ht="18" customHeight="1">
      <c r="A7" s="34" t="s">
        <v>132</v>
      </c>
      <c r="B7" s="23">
        <v>3170</v>
      </c>
      <c r="C7" s="18"/>
      <c r="D7" s="18"/>
      <c r="E7" s="18"/>
      <c r="F7" s="18"/>
      <c r="G7" s="18"/>
      <c r="J7" s="14"/>
      <c r="K7" s="20"/>
    </row>
    <row r="8" spans="1:11" ht="18" customHeight="1">
      <c r="A8" s="29" t="s">
        <v>133</v>
      </c>
      <c r="B8" s="75">
        <f>SUM(B5:B7)</f>
        <v>10959</v>
      </c>
      <c r="C8" s="19"/>
      <c r="D8" s="19"/>
      <c r="E8" s="19"/>
      <c r="F8" s="19"/>
      <c r="G8" s="19"/>
      <c r="J8" s="14"/>
      <c r="K8" s="21"/>
    </row>
    <row r="9" spans="1:11" ht="18" customHeight="1">
      <c r="A9" s="29" t="s">
        <v>134</v>
      </c>
      <c r="J9" s="14"/>
      <c r="K9" s="21"/>
    </row>
    <row r="10" spans="1:11" ht="19" customHeight="1">
      <c r="A10" s="34" t="s">
        <v>135</v>
      </c>
      <c r="B10" s="24">
        <v>-4.8000000000000001E-2</v>
      </c>
    </row>
    <row r="11" spans="1:11" ht="18" customHeight="1">
      <c r="A11" s="29" t="s">
        <v>136</v>
      </c>
    </row>
    <row r="12" spans="1:11" ht="19" customHeight="1">
      <c r="A12" s="34" t="s">
        <v>130</v>
      </c>
      <c r="B12" s="76">
        <f>B5*(1+$B$10)</f>
        <v>3002.6079999999997</v>
      </c>
      <c r="C12" s="25">
        <f>B12*(1+Assumptions!B5)</f>
        <v>2732.3732799999998</v>
      </c>
      <c r="D12" s="25">
        <f>C12*(1+Assumptions!C5)</f>
        <v>2787.0207455999998</v>
      </c>
      <c r="E12" s="25">
        <f>D12*(1+Assumptions!D5)</f>
        <v>2898.5015754239998</v>
      </c>
      <c r="F12" s="25">
        <f>E12*(1+Assumptions!E5)</f>
        <v>3043.4266541952002</v>
      </c>
      <c r="G12" s="25">
        <f>F12*(1+Assumptions!F5)</f>
        <v>3165.1637203630085</v>
      </c>
    </row>
    <row r="13" spans="1:11" ht="19" customHeight="1">
      <c r="A13" s="34" t="s">
        <v>131</v>
      </c>
      <c r="B13" s="76">
        <f>B6*(1+$B$10)</f>
        <v>4412.5199999999995</v>
      </c>
      <c r="C13" s="25">
        <f>B13*(1+Assumptions!B6)</f>
        <v>4368.3947999999991</v>
      </c>
      <c r="D13" s="25">
        <f>C13*(1+Assumptions!C6)</f>
        <v>4499.4466439999997</v>
      </c>
      <c r="E13" s="25">
        <f>D13*(1+Assumptions!D6)</f>
        <v>4724.4189761999996</v>
      </c>
      <c r="F13" s="25">
        <f>E13*(1+Assumptions!E6)</f>
        <v>5007.8841147719995</v>
      </c>
      <c r="G13" s="25">
        <f>F13*(1+Assumptions!F6)</f>
        <v>5258.2783205105998</v>
      </c>
    </row>
    <row r="14" spans="1:11" ht="19" customHeight="1">
      <c r="A14" s="34" t="s">
        <v>132</v>
      </c>
      <c r="B14" s="76">
        <f>B7*(1+$B$10)</f>
        <v>3017.8399999999997</v>
      </c>
      <c r="C14" s="25">
        <f>B14*(1+Assumptions!B7)</f>
        <v>2987.6615999999995</v>
      </c>
      <c r="D14" s="25">
        <f>C14*(1+Assumptions!C7)</f>
        <v>3017.5382159999995</v>
      </c>
      <c r="E14" s="25">
        <f>D14*(1+Assumptions!D7)</f>
        <v>3077.8889803199995</v>
      </c>
      <c r="F14" s="25">
        <f>E14*(1+Assumptions!E7)</f>
        <v>3139.4467599263994</v>
      </c>
      <c r="G14" s="25">
        <f>F14*(1+Assumptions!F7)</f>
        <v>3202.2356951249276</v>
      </c>
    </row>
    <row r="15" spans="1:11" ht="18" customHeight="1">
      <c r="A15" s="29" t="s">
        <v>137</v>
      </c>
      <c r="B15" s="75">
        <f t="shared" ref="B15:G15" si="0">SUM(B12,B13,B14)</f>
        <v>10432.967999999999</v>
      </c>
      <c r="C15" s="75">
        <f t="shared" si="0"/>
        <v>10088.429679999997</v>
      </c>
      <c r="D15" s="75">
        <f t="shared" si="0"/>
        <v>10304.005605599999</v>
      </c>
      <c r="E15" s="75">
        <f t="shared" si="0"/>
        <v>10700.809531944</v>
      </c>
      <c r="F15" s="75">
        <f t="shared" si="0"/>
        <v>11190.757528893599</v>
      </c>
      <c r="G15" s="75">
        <f t="shared" si="0"/>
        <v>11625.677735998535</v>
      </c>
    </row>
    <row r="17" spans="1:7" ht="18" customHeight="1">
      <c r="A17" s="29" t="s">
        <v>103</v>
      </c>
      <c r="B17" s="17"/>
      <c r="C17" s="75">
        <f>C15</f>
        <v>10088.429679999997</v>
      </c>
      <c r="D17" s="75">
        <f>D15</f>
        <v>10304.005605599999</v>
      </c>
      <c r="E17" s="75">
        <f>E15</f>
        <v>10700.809531944</v>
      </c>
      <c r="F17" s="75">
        <f>F15</f>
        <v>11190.757528893599</v>
      </c>
      <c r="G17" s="75">
        <f>G15</f>
        <v>11625.677735998535</v>
      </c>
    </row>
    <row r="18" spans="1:7" ht="18" customHeight="1">
      <c r="A18" s="34" t="s">
        <v>138</v>
      </c>
      <c r="B18" s="17"/>
      <c r="C18" s="25">
        <f>C17*Assumptions!B9</f>
        <v>5952.1735111999978</v>
      </c>
      <c r="D18" s="25">
        <f>D17*Assumptions!C9</f>
        <v>6079.3633073039991</v>
      </c>
      <c r="E18" s="25">
        <f>E17*Assumptions!D9</f>
        <v>6366.98167150668</v>
      </c>
      <c r="F18" s="25">
        <f>F17*Assumptions!E9</f>
        <v>6658.500729691691</v>
      </c>
      <c r="G18" s="25">
        <f>G17*Assumptions!F9</f>
        <v>6975.406641599121</v>
      </c>
    </row>
    <row r="19" spans="1:7" ht="18" customHeight="1">
      <c r="A19" s="34" t="s">
        <v>139</v>
      </c>
      <c r="C19" s="25">
        <f>-C17*Assumptions!B10</f>
        <v>-1614.1487487999996</v>
      </c>
      <c r="D19" s="25">
        <f>-D17*Assumptions!C10</f>
        <v>-1648.640896896</v>
      </c>
      <c r="E19" s="25">
        <f>-E17*Assumptions!D10</f>
        <v>-1712.12952511104</v>
      </c>
      <c r="F19" s="25">
        <f>-F17*Assumptions!E10</f>
        <v>-1790.5212046229758</v>
      </c>
      <c r="G19" s="25">
        <f>-G17*Assumptions!F10</f>
        <v>-1860.1084377597656</v>
      </c>
    </row>
    <row r="20" spans="1:7" ht="18" customHeight="1">
      <c r="A20" s="34" t="s">
        <v>108</v>
      </c>
      <c r="C20" s="25">
        <f>-C17*Assumptions!B11</f>
        <v>-1614.1487487999996</v>
      </c>
      <c r="D20" s="25">
        <f>-D17*Assumptions!C11</f>
        <v>-1617.7288800791998</v>
      </c>
      <c r="E20" s="25">
        <f>-E17*Assumptions!D11</f>
        <v>-1658.62547745132</v>
      </c>
      <c r="F20" s="25">
        <f>-F17*Assumptions!E11</f>
        <v>-1700.9951443918269</v>
      </c>
      <c r="G20" s="25">
        <f>-G17*Assumptions!F11</f>
        <v>-1743.8516603997803</v>
      </c>
    </row>
    <row r="21" spans="1:7" ht="18" customHeight="1">
      <c r="A21" s="29" t="s">
        <v>140</v>
      </c>
      <c r="C21" s="75">
        <f>C18+C19+C20</f>
        <v>2723.8760135999992</v>
      </c>
      <c r="D21" s="75">
        <f>D18+D19+D20</f>
        <v>2812.9935303287998</v>
      </c>
      <c r="E21" s="75">
        <f>E18+E19+E20</f>
        <v>2996.2266689443204</v>
      </c>
      <c r="F21" s="75">
        <f>F18+F19+F20</f>
        <v>3166.9843806768877</v>
      </c>
      <c r="G21" s="75">
        <f>G18+G19+G20</f>
        <v>3371.4465434395752</v>
      </c>
    </row>
    <row r="23" spans="1:7" ht="18" customHeight="1">
      <c r="A23" s="34" t="s">
        <v>141</v>
      </c>
      <c r="C23" s="25">
        <f>C21*(1-Assumptions!B16)</f>
        <v>2042.9070101999994</v>
      </c>
      <c r="D23" s="25">
        <f>D21*(1-Assumptions!C16)</f>
        <v>2109.7451477465997</v>
      </c>
      <c r="E23" s="25">
        <f>E21*(1-Assumptions!D16)</f>
        <v>2247.1700017082403</v>
      </c>
      <c r="F23" s="25">
        <f>F21*(1-Assumptions!E16)</f>
        <v>2375.2382855076658</v>
      </c>
      <c r="G23" s="25">
        <f>G21*(1-Assumptions!F16)</f>
        <v>2528.5849075796814</v>
      </c>
    </row>
    <row r="24" spans="1:7" ht="18" customHeight="1">
      <c r="A24" s="34" t="s">
        <v>142</v>
      </c>
      <c r="C24" s="25">
        <f>C17*Assumptions!B13</f>
        <v>383.36032783999991</v>
      </c>
      <c r="D24" s="25">
        <f>D17*Assumptions!C13</f>
        <v>391.5522130128</v>
      </c>
      <c r="E24" s="25">
        <f>E17*Assumptions!D13</f>
        <v>406.630762213872</v>
      </c>
      <c r="F24" s="25">
        <f>F17*Assumptions!E13</f>
        <v>425.24878609795672</v>
      </c>
      <c r="G24" s="25">
        <f>G17*Assumptions!F13</f>
        <v>441.77575396794435</v>
      </c>
    </row>
    <row r="25" spans="1:7" ht="18" customHeight="1">
      <c r="A25" s="34" t="s">
        <v>143</v>
      </c>
      <c r="C25" s="25">
        <f>-C17*Assumptions!B14</f>
        <v>-554.86363239999991</v>
      </c>
      <c r="D25" s="25">
        <f>-D17*Assumptions!C14</f>
        <v>-546.11229709679992</v>
      </c>
      <c r="E25" s="25">
        <f>-E17*Assumptions!D14</f>
        <v>-535.04047659720004</v>
      </c>
      <c r="F25" s="25">
        <f>-F17*Assumptions!E14</f>
        <v>-559.53787644467991</v>
      </c>
      <c r="G25" s="25">
        <f>-G17*Assumptions!F14</f>
        <v>-581.28388679992679</v>
      </c>
    </row>
    <row r="26" spans="1:7" ht="18" customHeight="1">
      <c r="A26" s="34" t="s">
        <v>144</v>
      </c>
      <c r="C26" s="25">
        <f>C17*Assumptions!B15</f>
        <v>-252.21074199999995</v>
      </c>
      <c r="D26" s="25">
        <f>D17*Assumptions!C15</f>
        <v>-257.60014014000001</v>
      </c>
      <c r="E26" s="25">
        <f>E17*Assumptions!D15</f>
        <v>-214.01619063888</v>
      </c>
      <c r="F26" s="25">
        <f>F17*Assumptions!E15</f>
        <v>-223.81515057787198</v>
      </c>
      <c r="G26" s="25">
        <f>G17*Assumptions!F15</f>
        <v>-232.5135547199707</v>
      </c>
    </row>
    <row r="27" spans="1:7" ht="18" customHeight="1">
      <c r="A27" s="29" t="s">
        <v>145</v>
      </c>
      <c r="C27" s="75">
        <f>C23+C24+C25+C26</f>
        <v>1619.1929636399993</v>
      </c>
      <c r="D27" s="75">
        <f>D23+D24+D25+D26</f>
        <v>1697.5849235226001</v>
      </c>
      <c r="E27" s="75">
        <f>E23+E24+E25+E26</f>
        <v>1904.7440966860324</v>
      </c>
      <c r="F27" s="75">
        <f>F23+F24+F25+F26</f>
        <v>2017.1340445830706</v>
      </c>
      <c r="G27" s="75">
        <f>G23+G24+G25+G26</f>
        <v>2156.5632200277282</v>
      </c>
    </row>
    <row r="29" spans="1:7" ht="18" customHeight="1">
      <c r="A29" s="34" t="s">
        <v>146</v>
      </c>
      <c r="C29" s="23">
        <v>1</v>
      </c>
      <c r="D29" s="23">
        <v>2</v>
      </c>
      <c r="E29" s="23">
        <v>3</v>
      </c>
      <c r="F29" s="23">
        <v>4</v>
      </c>
      <c r="G29" s="23">
        <v>5</v>
      </c>
    </row>
    <row r="30" spans="1:7" ht="18" customHeight="1">
      <c r="A30" s="34" t="s">
        <v>147</v>
      </c>
      <c r="C30" s="28">
        <f>1/(1+WACC!$B$21)^C29</f>
        <v>0.93235758634147237</v>
      </c>
      <c r="D30" s="28">
        <f>1/(1+WACC!$B$21)^D29</f>
        <v>0.86929066880849615</v>
      </c>
      <c r="E30" s="28">
        <f>1/(1+WACC!$B$21)^E29</f>
        <v>0.81048974979945365</v>
      </c>
      <c r="F30" s="28">
        <f>1/(1+WACC!$B$21)^F29</f>
        <v>0.75566626687752247</v>
      </c>
      <c r="G30" s="28">
        <f>1/(1+WACC!$B$21)^G29</f>
        <v>0.70455117666559774</v>
      </c>
    </row>
    <row r="31" spans="1:7" ht="18" customHeight="1">
      <c r="A31" s="34" t="s">
        <v>148</v>
      </c>
      <c r="C31" s="76">
        <f>C27*C30</f>
        <v>1509.6668434004853</v>
      </c>
      <c r="D31" s="76">
        <f>D27*D30</f>
        <v>1475.6947335281809</v>
      </c>
      <c r="E31" s="76">
        <f>E27*E30</f>
        <v>1543.7755663550488</v>
      </c>
      <c r="F31" s="76">
        <f>F27*F30</f>
        <v>1524.280153261647</v>
      </c>
      <c r="G31" s="76">
        <f>G27*G30</f>
        <v>1519.4091542242863</v>
      </c>
    </row>
    <row r="33" spans="1:9" ht="18" customHeight="1">
      <c r="A33" s="29" t="s">
        <v>149</v>
      </c>
      <c r="B33" s="75">
        <f>SUM(C31:G31)</f>
        <v>7572.8264507696476</v>
      </c>
    </row>
    <row r="34" spans="1:9" ht="19" customHeight="1">
      <c r="A34" s="34" t="s">
        <v>150</v>
      </c>
      <c r="B34" s="25">
        <f>G27*(1+Assumptions!B$18)/(WACC!B21-Assumptions!B$18)</f>
        <v>38035.046745814216</v>
      </c>
    </row>
    <row r="35" spans="1:9" ht="19" customHeight="1">
      <c r="A35" s="34" t="s">
        <v>151</v>
      </c>
      <c r="B35" s="76">
        <f>G21+G24</f>
        <v>3813.2222974075194</v>
      </c>
    </row>
    <row r="36" spans="1:9" ht="19" customHeight="1">
      <c r="A36" s="34" t="s">
        <v>152</v>
      </c>
      <c r="B36" s="25">
        <f>B35*Assumptions!B19</f>
        <v>41945.445271482713</v>
      </c>
    </row>
    <row r="37" spans="1:9" ht="19" customHeight="1">
      <c r="A37" s="29" t="s">
        <v>153</v>
      </c>
      <c r="B37" s="75">
        <f>B33+B34*G30</f>
        <v>34370.463390064069</v>
      </c>
    </row>
    <row r="38" spans="1:9">
      <c r="A38" s="29" t="s">
        <v>154</v>
      </c>
      <c r="B38" s="75">
        <f>B33+B36*G30</f>
        <v>37125.539272555223</v>
      </c>
    </row>
    <row r="41" spans="1:9">
      <c r="A41" s="99" t="s">
        <v>155</v>
      </c>
      <c r="B41" s="99" t="s">
        <v>101</v>
      </c>
      <c r="C41" s="99" t="s">
        <v>102</v>
      </c>
      <c r="D41" s="99" t="s">
        <v>55</v>
      </c>
      <c r="E41" s="99" t="s">
        <v>78</v>
      </c>
      <c r="F41" s="99" t="s">
        <v>79</v>
      </c>
      <c r="G41" s="99" t="s">
        <v>80</v>
      </c>
      <c r="H41" s="99" t="s">
        <v>81</v>
      </c>
      <c r="I41" s="99" t="s">
        <v>82</v>
      </c>
    </row>
    <row r="42" spans="1:9">
      <c r="A42" s="99" t="s">
        <v>156</v>
      </c>
      <c r="B42" s="95">
        <f>Income_Statement!B4</f>
        <v>12137</v>
      </c>
      <c r="C42" s="95">
        <f>Income_Statement!C4</f>
        <v>11598</v>
      </c>
      <c r="D42" s="95">
        <f>Income_Statement!D4</f>
        <v>10959</v>
      </c>
      <c r="E42" s="102">
        <f>C15</f>
        <v>10088.429679999997</v>
      </c>
      <c r="F42" s="102">
        <f>D15</f>
        <v>10304.005605599999</v>
      </c>
      <c r="G42" s="102">
        <f>E15</f>
        <v>10700.809531944</v>
      </c>
      <c r="H42" s="102">
        <f>F15</f>
        <v>11190.757528893599</v>
      </c>
      <c r="I42" s="102">
        <f>G15</f>
        <v>11625.677735998535</v>
      </c>
    </row>
    <row r="43" spans="1:9">
      <c r="A43" s="99" t="s">
        <v>157</v>
      </c>
      <c r="B43" s="95">
        <f>Income_Statement!B10</f>
        <v>3348</v>
      </c>
      <c r="C43" s="95">
        <f>Income_Statement!C10</f>
        <v>3116</v>
      </c>
      <c r="D43" s="95">
        <f>Income_Statement!D10</f>
        <v>2951</v>
      </c>
      <c r="E43" s="102">
        <f>C21</f>
        <v>2723.8760135999992</v>
      </c>
      <c r="F43" s="102">
        <f>D21</f>
        <v>2812.9935303287998</v>
      </c>
      <c r="G43" s="102">
        <f>E21</f>
        <v>2996.2266689443204</v>
      </c>
      <c r="H43" s="102">
        <f>F21</f>
        <v>3166.9843806768877</v>
      </c>
      <c r="I43" s="102">
        <f>G21</f>
        <v>3371.4465434395752</v>
      </c>
    </row>
    <row r="44" spans="1:9">
      <c r="A44" s="99" t="s">
        <v>158</v>
      </c>
      <c r="B44" s="102">
        <f t="shared" ref="B44:I44" si="1">B43/B42</f>
        <v>0.2758507044574442</v>
      </c>
      <c r="C44" s="102">
        <f t="shared" si="1"/>
        <v>0.26866701155371614</v>
      </c>
      <c r="D44" s="102">
        <f t="shared" si="1"/>
        <v>0.269276393831554</v>
      </c>
      <c r="E44" s="102">
        <f t="shared" si="1"/>
        <v>0.26999999999999996</v>
      </c>
      <c r="F44" s="102">
        <f t="shared" si="1"/>
        <v>0.27300000000000002</v>
      </c>
      <c r="G44" s="102">
        <f t="shared" si="1"/>
        <v>0.28000000000000003</v>
      </c>
      <c r="H44" s="102">
        <f t="shared" si="1"/>
        <v>0.28299999999999992</v>
      </c>
      <c r="I44" s="102">
        <f t="shared" si="1"/>
        <v>0.28999999999999998</v>
      </c>
    </row>
    <row r="52" spans="1:9">
      <c r="A52" s="99" t="s">
        <v>155</v>
      </c>
      <c r="B52" s="43"/>
      <c r="C52" s="43"/>
      <c r="D52" s="43"/>
      <c r="E52" s="99" t="str">
        <f>E41</f>
        <v>FY26E</v>
      </c>
      <c r="F52" s="99" t="str">
        <f>F41</f>
        <v>FY27E</v>
      </c>
      <c r="G52" s="99" t="str">
        <f>G41</f>
        <v>FY28E</v>
      </c>
      <c r="H52" s="99" t="str">
        <f>H41</f>
        <v>FY29E</v>
      </c>
      <c r="I52" s="99" t="str">
        <f>I41</f>
        <v>FY30E</v>
      </c>
    </row>
    <row r="53" spans="1:9">
      <c r="A53" s="99" t="s">
        <v>159</v>
      </c>
      <c r="B53" s="43"/>
      <c r="C53" s="43"/>
      <c r="D53" s="43"/>
      <c r="E53" s="113">
        <f>WACC!B17</f>
        <v>11168</v>
      </c>
      <c r="F53" s="106">
        <f>E57</f>
        <v>10731.28003636</v>
      </c>
      <c r="G53" s="106">
        <f>F57</f>
        <v>10216.1681128374</v>
      </c>
      <c r="H53" s="106">
        <f>G57</f>
        <v>9493.897016151368</v>
      </c>
      <c r="I53" s="99">
        <f>H57</f>
        <v>8659.2359715682978</v>
      </c>
    </row>
    <row r="54" spans="1:9">
      <c r="A54" s="99" t="s">
        <v>160</v>
      </c>
      <c r="B54" s="112"/>
      <c r="C54" s="112"/>
      <c r="D54" s="112"/>
      <c r="E54" s="106">
        <f>-C27</f>
        <v>-1619.1929636399993</v>
      </c>
      <c r="F54" s="106">
        <f>-D27</f>
        <v>-1697.5849235226001</v>
      </c>
      <c r="G54" s="106">
        <f>-E27</f>
        <v>-1904.7440966860324</v>
      </c>
      <c r="H54" s="106">
        <f>-F27</f>
        <v>-2017.1340445830706</v>
      </c>
      <c r="I54" s="106">
        <f>-G27</f>
        <v>-2156.5632200277282</v>
      </c>
    </row>
    <row r="55" spans="1:9">
      <c r="A55" s="99" t="s">
        <v>161</v>
      </c>
      <c r="B55" s="43"/>
      <c r="C55" s="43"/>
      <c r="D55" s="43"/>
      <c r="E55" s="113">
        <f>$B$60*WACC!$B$15</f>
        <v>1182.473</v>
      </c>
      <c r="F55" s="113">
        <f>$B$60*WACC!$B$15</f>
        <v>1182.473</v>
      </c>
      <c r="G55" s="113">
        <f>$B$60*WACC!$B$15</f>
        <v>1182.473</v>
      </c>
      <c r="H55" s="113">
        <f>$B$60*WACC!$B$15</f>
        <v>1182.473</v>
      </c>
      <c r="I55" s="113">
        <f>$B$60*WACC!$B$15</f>
        <v>1182.473</v>
      </c>
    </row>
    <row r="56" spans="1:9">
      <c r="A56" s="99" t="s">
        <v>162</v>
      </c>
      <c r="B56" s="43"/>
      <c r="C56" s="43"/>
      <c r="D56" s="43"/>
      <c r="E56" s="111">
        <v>0</v>
      </c>
      <c r="F56" s="111">
        <v>0</v>
      </c>
      <c r="G56" s="111">
        <v>0</v>
      </c>
      <c r="H56" s="111">
        <v>0</v>
      </c>
      <c r="I56" s="111">
        <v>0</v>
      </c>
    </row>
    <row r="57" spans="1:9">
      <c r="A57" s="99" t="s">
        <v>163</v>
      </c>
      <c r="B57" s="112"/>
      <c r="C57" s="112"/>
      <c r="D57" s="112"/>
      <c r="E57" s="106">
        <f>E53+E54+E55+E56</f>
        <v>10731.28003636</v>
      </c>
      <c r="F57" s="106">
        <f>F53+F54+F55+F56</f>
        <v>10216.1681128374</v>
      </c>
      <c r="G57" s="106">
        <f>G53+G54+G55+G56</f>
        <v>9493.897016151368</v>
      </c>
      <c r="H57" s="106">
        <f>H53+H54+H55+H56</f>
        <v>8659.2359715682978</v>
      </c>
      <c r="I57" s="106">
        <f>I53+I54+I55+I56</f>
        <v>7685.1457515405691</v>
      </c>
    </row>
    <row r="58" spans="1:9">
      <c r="A58" s="99" t="s">
        <v>164</v>
      </c>
      <c r="B58" s="15"/>
      <c r="C58" s="15"/>
      <c r="D58" s="15"/>
      <c r="E58" s="106">
        <f>C21+C24</f>
        <v>3107.2363414399993</v>
      </c>
      <c r="F58" s="106">
        <f>D21+D24</f>
        <v>3204.5457433416</v>
      </c>
      <c r="G58" s="106">
        <f>E21+E24</f>
        <v>3402.8574311581924</v>
      </c>
      <c r="H58" s="106">
        <f>F21+F24</f>
        <v>3592.2331667748444</v>
      </c>
      <c r="I58" s="106">
        <f>G21+G24</f>
        <v>3813.2222974075194</v>
      </c>
    </row>
    <row r="59" spans="1:9">
      <c r="A59" s="99" t="s">
        <v>165</v>
      </c>
      <c r="B59" s="15"/>
      <c r="C59" s="15"/>
      <c r="D59" s="15"/>
      <c r="E59" s="114">
        <f>E57/E58</f>
        <v>3.4536413896944702</v>
      </c>
      <c r="F59" s="114">
        <f>F57/F58</f>
        <v>3.1880238046420581</v>
      </c>
      <c r="G59" s="114">
        <f>G57/G58</f>
        <v>2.7899778959943191</v>
      </c>
      <c r="H59" s="114">
        <f>H57/H58</f>
        <v>2.4105439623627429</v>
      </c>
      <c r="I59" s="114">
        <f>I57/I58</f>
        <v>2.0153941082232314</v>
      </c>
    </row>
    <row r="60" spans="1:9">
      <c r="A60" s="99" t="s">
        <v>166</v>
      </c>
      <c r="B60" s="111">
        <v>4.7</v>
      </c>
      <c r="C60" s="15"/>
      <c r="D60" s="15"/>
      <c r="E60" s="15"/>
      <c r="F60" s="15"/>
      <c r="G60" s="15"/>
      <c r="H60" s="15"/>
      <c r="I60" s="15"/>
    </row>
    <row r="61" spans="1:9">
      <c r="A61" s="15"/>
      <c r="B61" s="15"/>
      <c r="C61" s="15"/>
      <c r="D61" s="15"/>
      <c r="E61" s="15"/>
      <c r="F61" s="15"/>
      <c r="G61" s="15"/>
      <c r="H61" s="15"/>
      <c r="I61" s="15"/>
    </row>
  </sheetData>
  <mergeCells count="1">
    <mergeCell ref="B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1"/>
  <sheetViews>
    <sheetView workbookViewId="0">
      <pane xSplit="1" ySplit="3" topLeftCell="B4" activePane="bottomRight" state="frozen"/>
      <selection pane="topRight"/>
      <selection pane="bottomLeft"/>
      <selection pane="bottomRight" activeCell="D21" sqref="D21"/>
    </sheetView>
  </sheetViews>
  <sheetFormatPr baseColWidth="10" defaultRowHeight="16"/>
  <cols>
    <col min="1" max="1" width="42" bestFit="1" customWidth="1"/>
    <col min="2" max="2" width="34.83203125" customWidth="1"/>
  </cols>
  <sheetData>
    <row r="1" spans="1:2" ht="17" customHeight="1">
      <c r="A1" s="26"/>
      <c r="B1" s="77" t="s">
        <v>167</v>
      </c>
    </row>
    <row r="2" spans="1:2">
      <c r="A2" s="26"/>
      <c r="B2" s="26"/>
    </row>
    <row r="3" spans="1:2">
      <c r="A3" s="78" t="s">
        <v>168</v>
      </c>
      <c r="B3" s="79" t="s">
        <v>169</v>
      </c>
    </row>
    <row r="4" spans="1:2" ht="18" customHeight="1">
      <c r="A4" s="80" t="s">
        <v>170</v>
      </c>
      <c r="B4" s="26"/>
    </row>
    <row r="5" spans="1:2" ht="19" customHeight="1">
      <c r="A5" s="81" t="s">
        <v>171</v>
      </c>
      <c r="B5" s="82">
        <f>Data!B13/100</f>
        <v>3.7400000000000003E-2</v>
      </c>
    </row>
    <row r="6" spans="1:2" ht="18" customHeight="1">
      <c r="A6" s="81" t="s">
        <v>172</v>
      </c>
      <c r="B6" s="82">
        <f>Data!B14/100</f>
        <v>5.5E-2</v>
      </c>
    </row>
    <row r="7" spans="1:2" ht="18" customHeight="1">
      <c r="A7" s="81" t="s">
        <v>173</v>
      </c>
      <c r="B7" s="83">
        <v>1.25</v>
      </c>
    </row>
    <row r="8" spans="1:2" ht="18" customHeight="1">
      <c r="A8" s="81" t="s">
        <v>174</v>
      </c>
      <c r="B8" s="84">
        <f>B5+B7*B6</f>
        <v>0.10615000000000001</v>
      </c>
    </row>
    <row r="9" spans="1:2" ht="18" customHeight="1">
      <c r="A9" s="80" t="s">
        <v>175</v>
      </c>
      <c r="B9" s="27"/>
    </row>
    <row r="10" spans="1:2" ht="18" customHeight="1">
      <c r="A10" s="81" t="s">
        <v>176</v>
      </c>
      <c r="B10" s="82">
        <f>Data!B11/100</f>
        <v>3.2000000000000001E-2</v>
      </c>
    </row>
    <row r="11" spans="1:2" ht="18" customHeight="1">
      <c r="A11" s="81" t="s">
        <v>177</v>
      </c>
      <c r="B11" s="85">
        <v>0.25</v>
      </c>
    </row>
    <row r="12" spans="1:2" ht="18" customHeight="1">
      <c r="A12" s="81" t="s">
        <v>178</v>
      </c>
      <c r="B12" s="84">
        <f>B10*(1-B11)</f>
        <v>2.4E-2</v>
      </c>
    </row>
    <row r="13" spans="1:2" ht="18" customHeight="1">
      <c r="A13" s="80" t="s">
        <v>179</v>
      </c>
      <c r="B13" s="27"/>
    </row>
    <row r="14" spans="1:2" ht="18" customHeight="1">
      <c r="A14" s="81" t="s">
        <v>180</v>
      </c>
      <c r="B14" s="86">
        <v>64.14</v>
      </c>
    </row>
    <row r="15" spans="1:2" ht="18" customHeight="1">
      <c r="A15" s="81" t="s">
        <v>27</v>
      </c>
      <c r="B15" s="87">
        <v>251.59</v>
      </c>
    </row>
    <row r="16" spans="1:2" ht="18" customHeight="1">
      <c r="A16" s="81" t="s">
        <v>181</v>
      </c>
      <c r="B16" s="88">
        <f>B14*B15</f>
        <v>16136.982600000001</v>
      </c>
    </row>
    <row r="17" spans="1:2" ht="18" customHeight="1">
      <c r="A17" s="81" t="s">
        <v>182</v>
      </c>
      <c r="B17" s="89">
        <v>11168</v>
      </c>
    </row>
    <row r="18" spans="1:2" ht="18" customHeight="1">
      <c r="A18" s="80" t="s">
        <v>183</v>
      </c>
      <c r="B18" s="90">
        <f>B16+B17</f>
        <v>27304.982600000003</v>
      </c>
    </row>
    <row r="19" spans="1:2" ht="18" customHeight="1">
      <c r="A19" s="81" t="s">
        <v>184</v>
      </c>
      <c r="B19" s="84">
        <f>B16/B18</f>
        <v>0.59099040041138862</v>
      </c>
    </row>
    <row r="20" spans="1:2" ht="18" customHeight="1">
      <c r="A20" s="81" t="s">
        <v>185</v>
      </c>
      <c r="B20" s="84">
        <f>B17/B18</f>
        <v>0.40900959958861133</v>
      </c>
    </row>
    <row r="21" spans="1:2" ht="18" customHeight="1">
      <c r="A21" s="81" t="s">
        <v>186</v>
      </c>
      <c r="B21" s="84">
        <f>B19*B8+B20*B12</f>
        <v>7.2549861393795587E-2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"/>
  <sheetViews>
    <sheetView workbookViewId="0">
      <pane xSplit="1" ySplit="3" topLeftCell="B4" activePane="bottomRight" state="frozen"/>
      <selection pane="topRight"/>
      <selection pane="bottomLeft"/>
      <selection pane="bottomRight" activeCell="B5" sqref="B5"/>
    </sheetView>
  </sheetViews>
  <sheetFormatPr baseColWidth="10" defaultRowHeight="16"/>
  <cols>
    <col min="1" max="1" width="42" bestFit="1" customWidth="1"/>
    <col min="2" max="3" width="22.83203125" bestFit="1" customWidth="1"/>
  </cols>
  <sheetData>
    <row r="1" spans="1:3">
      <c r="A1" s="15"/>
      <c r="B1" s="117" t="s">
        <v>187</v>
      </c>
      <c r="C1" s="116"/>
    </row>
    <row r="2" spans="1:3">
      <c r="A2" s="15"/>
      <c r="B2" s="15"/>
      <c r="C2" s="15"/>
    </row>
    <row r="3" spans="1:3" ht="17" customHeight="1">
      <c r="A3" s="91" t="s">
        <v>127</v>
      </c>
      <c r="B3" s="92" t="s">
        <v>188</v>
      </c>
      <c r="C3" s="92" t="s">
        <v>189</v>
      </c>
    </row>
    <row r="4" spans="1:3" ht="18" customHeight="1">
      <c r="A4" s="29" t="s">
        <v>190</v>
      </c>
      <c r="B4" s="30">
        <f>DCF!B37</f>
        <v>34370.463390064069</v>
      </c>
      <c r="C4" s="37">
        <f>DCF!B38</f>
        <v>37125.539272555223</v>
      </c>
    </row>
    <row r="5" spans="1:3">
      <c r="A5" s="29" t="s">
        <v>191</v>
      </c>
      <c r="B5" s="30">
        <f>-WACC!B17</f>
        <v>-11168</v>
      </c>
      <c r="C5" s="38">
        <f>B5</f>
        <v>-11168</v>
      </c>
    </row>
    <row r="6" spans="1:3">
      <c r="A6" s="29" t="s">
        <v>192</v>
      </c>
      <c r="B6" s="31">
        <v>-1014</v>
      </c>
      <c r="C6" s="38">
        <f>B6</f>
        <v>-1014</v>
      </c>
    </row>
    <row r="7" spans="1:3">
      <c r="A7" s="29" t="s">
        <v>193</v>
      </c>
      <c r="B7" s="31">
        <v>68</v>
      </c>
      <c r="C7" s="38">
        <f>B7</f>
        <v>68</v>
      </c>
    </row>
    <row r="8" spans="1:3">
      <c r="A8" s="29" t="s">
        <v>194</v>
      </c>
      <c r="B8" s="32">
        <f>SUM(B4:B7)</f>
        <v>22256.463390064069</v>
      </c>
      <c r="C8" s="32">
        <f>SUM(C4:C7)</f>
        <v>25011.539272555223</v>
      </c>
    </row>
    <row r="9" spans="1:3">
      <c r="A9" s="29" t="s">
        <v>118</v>
      </c>
      <c r="B9" s="33">
        <f>WACC!B15</f>
        <v>251.59</v>
      </c>
      <c r="C9" s="39">
        <f>B9</f>
        <v>251.59</v>
      </c>
    </row>
    <row r="10" spans="1:3">
      <c r="A10" s="34" t="s">
        <v>195</v>
      </c>
      <c r="B10" s="35">
        <f>B8/B9</f>
        <v>88.463227433777448</v>
      </c>
      <c r="C10" s="35">
        <f>C8/C9</f>
        <v>99.413884783001009</v>
      </c>
    </row>
    <row r="11" spans="1:3">
      <c r="A11" s="29" t="s">
        <v>196</v>
      </c>
      <c r="B11" s="36">
        <f>WACC!B14</f>
        <v>64.14</v>
      </c>
      <c r="C11" s="40">
        <f>B11</f>
        <v>64.14</v>
      </c>
    </row>
    <row r="12" spans="1:3">
      <c r="A12" s="34" t="s">
        <v>197</v>
      </c>
      <c r="B12" s="41">
        <f>B10/B11-1</f>
        <v>0.37922088297127288</v>
      </c>
      <c r="C12" s="42">
        <f>C10/C11-1</f>
        <v>0.54995143097912402</v>
      </c>
    </row>
  </sheetData>
  <mergeCells count="1">
    <mergeCell ref="B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3"/>
  <sheetViews>
    <sheetView workbookViewId="0">
      <selection activeCell="E23" sqref="E23"/>
    </sheetView>
  </sheetViews>
  <sheetFormatPr baseColWidth="10" defaultRowHeight="16"/>
  <cols>
    <col min="1" max="1" width="28.6640625" bestFit="1" customWidth="1"/>
    <col min="2" max="2" width="30.6640625" bestFit="1" customWidth="1"/>
    <col min="3" max="3" width="20" bestFit="1" customWidth="1"/>
  </cols>
  <sheetData>
    <row r="1" spans="1:7">
      <c r="A1" s="15"/>
      <c r="B1" s="93" t="s">
        <v>198</v>
      </c>
      <c r="C1" s="15"/>
      <c r="D1" s="15"/>
      <c r="E1" s="15"/>
      <c r="F1" s="15"/>
      <c r="G1" s="15"/>
    </row>
    <row r="2" spans="1:7">
      <c r="A2" s="15"/>
      <c r="B2" s="15"/>
      <c r="C2" s="15"/>
      <c r="D2" s="15"/>
      <c r="E2" s="15"/>
      <c r="F2" s="15"/>
      <c r="G2" s="15"/>
    </row>
    <row r="3" spans="1:7">
      <c r="A3" s="93" t="s">
        <v>199</v>
      </c>
      <c r="B3" s="43"/>
      <c r="C3" s="93" t="s">
        <v>200</v>
      </c>
      <c r="D3" s="15"/>
      <c r="E3" s="15"/>
      <c r="F3" s="15"/>
      <c r="G3" s="15"/>
    </row>
    <row r="4" spans="1:7">
      <c r="A4" s="15"/>
      <c r="B4" s="94" t="s">
        <v>201</v>
      </c>
      <c r="C4" s="48">
        <v>0.01</v>
      </c>
      <c r="D4" s="48">
        <v>1.4999999999999999E-2</v>
      </c>
      <c r="E4" s="48">
        <v>0.02</v>
      </c>
      <c r="F4" s="48">
        <v>2.5000000000000001E-2</v>
      </c>
      <c r="G4" s="48">
        <v>0.03</v>
      </c>
    </row>
    <row r="5" spans="1:7">
      <c r="A5" s="15"/>
      <c r="B5" s="48">
        <v>5.5E-2</v>
      </c>
      <c r="C5" s="95">
        <f t="array" ref="C5">(SUMPRODUCT(DCF!$C$27:$G$27,(1+$B5)^(-DCF!$C$29:$G$29))+DCF!$G$27*(1+C$4)/($B5-C$4)*(1+$B5)^(-5)-WACC!$B$17+Bridge!$B$6+Bridge!$B$7)/WACC!$B$15</f>
        <v>130.69320725737089</v>
      </c>
      <c r="D5" s="95">
        <f t="array" ref="D5">(SUMPRODUCT(DCF!$C$27:$G$27,(1+$B5)^(-DCF!$C$29:$G$29))+DCF!$G$27*(1+D$4)/($B5-D$4)*(1+$B5)^(-5)-WACC!$B$17+Bridge!$B$6+Bridge!$B$7)/WACC!$B$15</f>
        <v>149.91334428803469</v>
      </c>
      <c r="E5" s="95">
        <f t="array" ref="E5">(SUMPRODUCT(DCF!$C$27:$G$27,(1+$B5)^(-DCF!$C$29:$G$29))+DCF!$G$27*(1+E$4)/($B5-E$4)*(1+$B5)^(-5)-WACC!$B$17+Bridge!$B$6+Bridge!$B$7)/WACC!$B$15</f>
        <v>174.62494904174525</v>
      </c>
      <c r="F5" s="95">
        <f t="array" ref="F5">(SUMPRODUCT(DCF!$C$27:$G$27,(1+$B5)^(-DCF!$C$29:$G$29))+DCF!$G$27*(1+F$4)/($B5-F$4)*(1+$B5)^(-5)-WACC!$B$17+Bridge!$B$6+Bridge!$B$7)/WACC!$B$15</f>
        <v>207.57375538002603</v>
      </c>
      <c r="G5" s="95">
        <f t="array" ref="G5">(SUMPRODUCT(DCF!$C$27:$G$27,(1+$B5)^(-DCF!$C$29:$G$29))+DCF!$G$27*(1+G$4)/($B5-G$4)*(1+$B5)^(-5)-WACC!$B$17+Bridge!$B$6+Bridge!$B$7)/WACC!$B$15</f>
        <v>253.70208425361903</v>
      </c>
    </row>
    <row r="6" spans="1:7">
      <c r="A6" s="15"/>
      <c r="B6" s="48">
        <v>0.06</v>
      </c>
      <c r="C6" s="95">
        <f t="array" ref="C6">(SUMPRODUCT(DCF!$C$27:$G$27,(1+$B6)^(-DCF!$C$29:$G$29))+DCF!$G$27*(1+C$4)/($B6-C$4)*(1+$B6)^(-5)-WACC!$B$17+Bridge!$B$6+Bridge!$B$7)/WACC!$B$15</f>
        <v>112.42658792818138</v>
      </c>
      <c r="D6" s="95">
        <f t="array" ref="D6">(SUMPRODUCT(DCF!$C$27:$G$27,(1+$B6)^(-DCF!$C$29:$G$29))+DCF!$G$27*(1+D$4)/($B6-D$4)*(1+$B6)^(-5)-WACC!$B$17+Bridge!$B$6+Bridge!$B$7)/WACC!$B$15</f>
        <v>127.51462853177492</v>
      </c>
      <c r="E6" s="95">
        <f t="array" ref="E6">(SUMPRODUCT(DCF!$C$27:$G$27,(1+$B6)^(-DCF!$C$29:$G$29))+DCF!$G$27*(1+E$4)/($B6-E$4)*(1+$B6)^(-5)-WACC!$B$17+Bridge!$B$6+Bridge!$B$7)/WACC!$B$15</f>
        <v>146.37467928626685</v>
      </c>
      <c r="F6" s="95">
        <f t="array" ref="F6">(SUMPRODUCT(DCF!$C$27:$G$27,(1+$B6)^(-DCF!$C$29:$G$29))+DCF!$G$27*(1+F$4)/($B6-F$4)*(1+$B6)^(-5)-WACC!$B$17+Bridge!$B$6+Bridge!$B$7)/WACC!$B$15</f>
        <v>170.62331597061362</v>
      </c>
      <c r="G6" s="95">
        <f t="array" ref="G6">(SUMPRODUCT(DCF!$C$27:$G$27,(1+$B6)^(-DCF!$C$29:$G$29))+DCF!$G$27*(1+G$4)/($B6-G$4)*(1+$B6)^(-5)-WACC!$B$17+Bridge!$B$6+Bridge!$B$7)/WACC!$B$15</f>
        <v>202.95483154974255</v>
      </c>
    </row>
    <row r="7" spans="1:7">
      <c r="A7" s="15"/>
      <c r="B7" s="48">
        <v>6.5000000000000002E-2</v>
      </c>
      <c r="C7" s="95">
        <f t="array" ref="C7">(SUMPRODUCT(DCF!$C$27:$G$27,(1+$B7)^(-DCF!$C$29:$G$29))+DCF!$G$27*(1+C$4)/($B7-C$4)*(1+$B7)^(-5)-WACC!$B$17+Bridge!$B$6+Bridge!$B$7)/WACC!$B$15</f>
        <v>97.48754426441262</v>
      </c>
      <c r="D7" s="95">
        <f t="array" ref="D7">(SUMPRODUCT(DCF!$C$27:$G$27,(1+$B7)^(-DCF!$C$29:$G$29))+DCF!$G$27*(1+D$4)/($B7-D$4)*(1+$B7)^(-5)-WACC!$B$17+Bridge!$B$6+Bridge!$B$7)/WACC!$B$15</f>
        <v>109.60210574721495</v>
      </c>
      <c r="E7" s="95">
        <f t="array" ref="E7">(SUMPRODUCT(DCF!$C$27:$G$27,(1+$B7)^(-DCF!$C$29:$G$29))+DCF!$G$27*(1+E$4)/($B7-E$4)*(1+$B7)^(-5)-WACC!$B$17+Bridge!$B$6+Bridge!$B$7)/WACC!$B$15</f>
        <v>124.4087920039734</v>
      </c>
      <c r="F7" s="95">
        <f t="array" ref="F7">(SUMPRODUCT(DCF!$C$27:$G$27,(1+$B7)^(-DCF!$C$29:$G$29))+DCF!$G$27*(1+F$4)/($B7-F$4)*(1+$B7)^(-5)-WACC!$B$17+Bridge!$B$6+Bridge!$B$7)/WACC!$B$15</f>
        <v>142.91714982492144</v>
      </c>
      <c r="G7" s="95">
        <f t="array" ref="G7">(SUMPRODUCT(DCF!$C$27:$G$27,(1+$B7)^(-DCF!$C$29:$G$29))+DCF!$G$27*(1+G$4)/($B7-G$4)*(1+$B7)^(-5)-WACC!$B$17+Bridge!$B$6+Bridge!$B$7)/WACC!$B$15</f>
        <v>166.71360988042599</v>
      </c>
    </row>
    <row r="8" spans="1:7">
      <c r="A8" s="15"/>
      <c r="B8" s="48">
        <v>7.0000000000000007E-2</v>
      </c>
      <c r="C8" s="95">
        <f t="array" ref="C8">(SUMPRODUCT(DCF!$C$27:$G$27,(1+$B8)^(-DCF!$C$29:$G$29))+DCF!$G$27*(1+C$4)/($B8-C$4)*(1+$B8)^(-5)-WACC!$B$17+Bridge!$B$6+Bridge!$B$7)/WACC!$B$15</f>
        <v>85.044042236053983</v>
      </c>
      <c r="D8" s="95">
        <f t="array" ref="D8">(SUMPRODUCT(DCF!$C$27:$G$27,(1+$B8)^(-DCF!$C$29:$G$29))+DCF!$G$27*(1+D$4)/($B8-D$4)*(1+$B8)^(-5)-WACC!$B$17+Bridge!$B$6+Bridge!$B$7)/WACC!$B$15</f>
        <v>94.95212835402215</v>
      </c>
      <c r="E8" s="95">
        <f t="array" ref="E8">(SUMPRODUCT(DCF!$C$27:$G$27,(1+$B8)^(-DCF!$C$29:$G$29))+DCF!$G$27*(1+E$4)/($B8-E$4)*(1+$B8)^(-5)-WACC!$B$17+Bridge!$B$6+Bridge!$B$7)/WACC!$B$15</f>
        <v>106.84183169558401</v>
      </c>
      <c r="F8" s="95">
        <f t="array" ref="F8">(SUMPRODUCT(DCF!$C$27:$G$27,(1+$B8)^(-DCF!$C$29:$G$29))+DCF!$G$27*(1+F$4)/($B8-F$4)*(1+$B8)^(-5)-WACC!$B$17+Bridge!$B$6+Bridge!$B$7)/WACC!$B$15</f>
        <v>121.37369133527066</v>
      </c>
      <c r="G8" s="95">
        <f t="array" ref="G8">(SUMPRODUCT(DCF!$C$27:$G$27,(1+$B8)^(-DCF!$C$29:$G$29))+DCF!$G$27*(1+G$4)/($B8-G$4)*(1+$B8)^(-5)-WACC!$B$17+Bridge!$B$6+Bridge!$B$7)/WACC!$B$15</f>
        <v>139.53851588487899</v>
      </c>
    </row>
    <row r="9" spans="1:7">
      <c r="A9" s="15"/>
      <c r="B9" s="48">
        <v>7.4999999999999997E-2</v>
      </c>
      <c r="C9" s="95">
        <f t="array" ref="C9">(SUMPRODUCT(DCF!$C$27:$G$27,(1+$B9)^(-DCF!$C$29:$G$29))+DCF!$G$27*(1+C$4)/($B9-C$4)*(1+$B9)^(-5)-WACC!$B$17+Bridge!$B$6+Bridge!$B$7)/WACC!$B$15</f>
        <v>74.520062063942177</v>
      </c>
      <c r="D9" s="95">
        <f t="array" ref="D9">(SUMPRODUCT(DCF!$C$27:$G$27,(1+$B9)^(-DCF!$C$29:$G$29))+DCF!$G$27*(1+D$4)/($B9-D$4)*(1+$B9)^(-5)-WACC!$B$17+Bridge!$B$6+Bridge!$B$7)/WACC!$B$15</f>
        <v>82.748935055576936</v>
      </c>
      <c r="E9" s="95">
        <f t="array" ref="E9">(SUMPRODUCT(DCF!$C$27:$G$27,(1+$B9)^(-DCF!$C$29:$G$29))+DCF!$G$27*(1+E$4)/($B9-E$4)*(1+$B9)^(-5)-WACC!$B$17+Bridge!$B$6+Bridge!$B$7)/WACC!$B$15</f>
        <v>92.473966772963522</v>
      </c>
      <c r="F9" s="95">
        <f t="array" ref="F9">(SUMPRODUCT(DCF!$C$27:$G$27,(1+$B9)^(-DCF!$C$29:$G$29))+DCF!$G$27*(1+F$4)/($B9-F$4)*(1+$B9)^(-5)-WACC!$B$17+Bridge!$B$6+Bridge!$B$7)/WACC!$B$15</f>
        <v>104.1440048338274</v>
      </c>
      <c r="G9" s="95">
        <f t="array" ref="G9">(SUMPRODUCT(DCF!$C$27:$G$27,(1+$B9)^(-DCF!$C$29:$G$29))+DCF!$G$27*(1+G$4)/($B9-G$4)*(1+$B9)^(-5)-WACC!$B$17+Bridge!$B$6+Bridge!$B$7)/WACC!$B$15</f>
        <v>118.40738468599432</v>
      </c>
    </row>
    <row r="10" spans="1:7">
      <c r="A10" s="15"/>
      <c r="B10" s="48">
        <v>0.08</v>
      </c>
      <c r="C10" s="95">
        <f t="array" ref="C10">(SUMPRODUCT(DCF!$C$27:$G$27,(1+$B10)^(-DCF!$C$29:$G$29))+DCF!$G$27*(1+C$4)/($B10-C$4)*(1+$B10)^(-5)-WACC!$B$17+Bridge!$B$6+Bridge!$B$7)/WACC!$B$15</f>
        <v>65.504164438675659</v>
      </c>
      <c r="D10" s="95">
        <f t="array" ref="D10">(SUMPRODUCT(DCF!$C$27:$G$27,(1+$B10)^(-DCF!$C$29:$G$29))+DCF!$G$27*(1+D$4)/($B10-D$4)*(1+$B10)^(-5)-WACC!$B$17+Bridge!$B$6+Bridge!$B$7)/WACC!$B$15</f>
        <v>72.42777138056141</v>
      </c>
      <c r="E10" s="95">
        <f t="array" ref="E10">(SUMPRODUCT(DCF!$C$27:$G$27,(1+$B10)^(-DCF!$C$29:$G$29))+DCF!$G$27*(1+E$4)/($B10-E$4)*(1+$B10)^(-5)-WACC!$B$17+Bridge!$B$6+Bridge!$B$7)/WACC!$B$15</f>
        <v>80.505312812761488</v>
      </c>
      <c r="F10" s="95">
        <f t="array" ref="F10">(SUMPRODUCT(DCF!$C$27:$G$27,(1+$B10)^(-DCF!$C$29:$G$29))+DCF!$G$27*(1+F$4)/($B10-F$4)*(1+$B10)^(-5)-WACC!$B$17+Bridge!$B$6+Bridge!$B$7)/WACC!$B$15</f>
        <v>90.05149814172519</v>
      </c>
      <c r="G10" s="95">
        <f t="array" ref="G10">(SUMPRODUCT(DCF!$C$27:$G$27,(1+$B10)^(-DCF!$C$29:$G$29))+DCF!$G$27*(1+G$4)/($B10-G$4)*(1+$B10)^(-5)-WACC!$B$17+Bridge!$B$6+Bridge!$B$7)/WACC!$B$15</f>
        <v>101.50692053648162</v>
      </c>
    </row>
    <row r="11" spans="1:7">
      <c r="A11" s="15"/>
      <c r="B11" s="48">
        <v>8.5000000000000006E-2</v>
      </c>
      <c r="C11" s="95">
        <f t="array" ref="C11">(SUMPRODUCT(DCF!$C$27:$G$27,(1+$B11)^(-DCF!$C$29:$G$29))+DCF!$G$27*(1+C$4)/($B11-C$4)*(1+$B11)^(-5)-WACC!$B$17+Bridge!$B$6+Bridge!$B$7)/WACC!$B$15</f>
        <v>57.694630256335969</v>
      </c>
      <c r="D11" s="95">
        <f t="array" ref="D11">(SUMPRODUCT(DCF!$C$27:$G$27,(1+$B11)^(-DCF!$C$29:$G$29))+DCF!$G$27*(1+D$4)/($B11-D$4)*(1+$B11)^(-5)-WACC!$B$17+Bridge!$B$6+Bridge!$B$7)/WACC!$B$15</f>
        <v>63.585244282444584</v>
      </c>
      <c r="E11" s="95">
        <f t="array" ref="E11">(SUMPRODUCT(DCF!$C$27:$G$27,(1+$B11)^(-DCF!$C$29:$G$29))+DCF!$G$27*(1+E$4)/($B11-E$4)*(1+$B11)^(-5)-WACC!$B$17+Bridge!$B$6+Bridge!$B$7)/WACC!$B$15</f>
        <v>70.382106620262235</v>
      </c>
      <c r="F11" s="95">
        <f t="array" ref="F11">(SUMPRODUCT(DCF!$C$27:$G$27,(1+$B11)^(-DCF!$C$29:$G$29))+DCF!$G$27*(1+F$4)/($B11-F$4)*(1+$B11)^(-5)-WACC!$B$17+Bridge!$B$6+Bridge!$B$7)/WACC!$B$15</f>
        <v>78.311779347716126</v>
      </c>
      <c r="G11" s="95">
        <f t="array" ref="G11">(SUMPRODUCT(DCF!$C$27:$G$27,(1+$B11)^(-DCF!$C$29:$G$29))+DCF!$G$27*(1+G$4)/($B11-G$4)*(1+$B11)^(-5)-WACC!$B$17+Bridge!$B$6+Bridge!$B$7)/WACC!$B$15</f>
        <v>87.683210752888911</v>
      </c>
    </row>
    <row r="12" spans="1:7">
      <c r="A12" s="15"/>
      <c r="B12" s="15"/>
      <c r="C12" s="15"/>
      <c r="D12" s="15"/>
      <c r="E12" s="15"/>
      <c r="F12" s="15"/>
      <c r="G12" s="15"/>
    </row>
    <row r="13" spans="1:7" ht="15" customHeight="1">
      <c r="A13" s="93" t="s">
        <v>202</v>
      </c>
      <c r="B13" s="15"/>
      <c r="C13" s="93" t="s">
        <v>203</v>
      </c>
      <c r="D13" s="15"/>
      <c r="E13" s="15"/>
      <c r="F13" s="15"/>
      <c r="G13" s="15"/>
    </row>
    <row r="14" spans="1:7">
      <c r="A14" s="45"/>
      <c r="B14" s="94" t="s">
        <v>204</v>
      </c>
      <c r="C14" s="96">
        <v>10</v>
      </c>
      <c r="D14" s="96">
        <v>11</v>
      </c>
      <c r="E14" s="96">
        <v>12</v>
      </c>
      <c r="F14" s="96">
        <v>13</v>
      </c>
      <c r="G14" s="96">
        <v>14</v>
      </c>
    </row>
    <row r="15" spans="1:7">
      <c r="A15" s="15"/>
      <c r="B15" s="48">
        <v>5.5E-2</v>
      </c>
      <c r="C15" s="95">
        <f t="array" ref="C15">(SUMPRODUCT(DCF!$C$27:$G$27,(1+$B15)^(-DCF!$C$29:$G$29))+DCF!$B$35*C$14*(1+$B15)^(-5)-WACC!$B$17+Bridge!$B$6+Bridge!$B$7)/WACC!$B$15</f>
        <v>99.458182762373113</v>
      </c>
      <c r="D15" s="95">
        <f t="array" ref="D15">(SUMPRODUCT(DCF!$C$27:$G$27,(1+$B15)^(-DCF!$C$29:$G$29))+DCF!$B$35*D$14*(1+$B15)^(-5)-WACC!$B$17+Bridge!$B$6+Bridge!$B$7)/WACC!$B$15</f>
        <v>111.05493692024426</v>
      </c>
      <c r="E15" s="95">
        <f t="array" ref="E15">(SUMPRODUCT(DCF!$C$27:$G$27,(1+$B15)^(-DCF!$C$29:$G$29))+DCF!$B$35*E$14*(1+$B15)^(-5)-WACC!$B$17+Bridge!$B$6+Bridge!$B$7)/WACC!$B$15</f>
        <v>122.65169107811539</v>
      </c>
      <c r="F15" s="95">
        <f t="array" ref="F15">(SUMPRODUCT(DCF!$C$27:$G$27,(1+$B15)^(-DCF!$C$29:$G$29))+DCF!$B$35*F$14*(1+$B15)^(-5)-WACC!$B$17+Bridge!$B$6+Bridge!$B$7)/WACC!$B$15</f>
        <v>134.24844523598657</v>
      </c>
      <c r="G15" s="95">
        <f t="array" ref="G15">(SUMPRODUCT(DCF!$C$27:$G$27,(1+$B15)^(-DCF!$C$29:$G$29))+DCF!$B$35*G$14*(1+$B15)^(-5)-WACC!$B$17+Bridge!$B$6+Bridge!$B$7)/WACC!$B$15</f>
        <v>145.84519939385771</v>
      </c>
    </row>
    <row r="16" spans="1:7">
      <c r="A16" s="15"/>
      <c r="B16" s="48">
        <v>0.06</v>
      </c>
      <c r="C16" s="95">
        <f t="array" ref="C16">(SUMPRODUCT(DCF!$C$27:$G$27,(1+$B16)^(-DCF!$C$29:$G$29))+DCF!$B$35*C$14*(1+$B16)^(-5)-WACC!$B$17+Bridge!$B$6+Bridge!$B$7)/WACC!$B$15</f>
        <v>96.297662053836959</v>
      </c>
      <c r="D16" s="95">
        <f t="array" ref="D16">(SUMPRODUCT(DCF!$C$27:$G$27,(1+$B16)^(-DCF!$C$29:$G$29))+DCF!$B$35*D$14*(1+$B16)^(-5)-WACC!$B$17+Bridge!$B$6+Bridge!$B$7)/WACC!$B$15</f>
        <v>107.62347598401242</v>
      </c>
      <c r="E16" s="95">
        <f t="array" ref="E16">(SUMPRODUCT(DCF!$C$27:$G$27,(1+$B16)^(-DCF!$C$29:$G$29))+DCF!$B$35*E$14*(1+$B16)^(-5)-WACC!$B$17+Bridge!$B$6+Bridge!$B$7)/WACC!$B$15</f>
        <v>118.94928991418794</v>
      </c>
      <c r="F16" s="95">
        <f t="array" ref="F16">(SUMPRODUCT(DCF!$C$27:$G$27,(1+$B16)^(-DCF!$C$29:$G$29))+DCF!$B$35*F$14*(1+$B16)^(-5)-WACC!$B$17+Bridge!$B$6+Bridge!$B$7)/WACC!$B$15</f>
        <v>130.2751038443634</v>
      </c>
      <c r="G16" s="95">
        <f t="array" ref="G16">(SUMPRODUCT(DCF!$C$27:$G$27,(1+$B16)^(-DCF!$C$29:$G$29))+DCF!$B$35*G$14*(1+$B16)^(-5)-WACC!$B$17+Bridge!$B$6+Bridge!$B$7)/WACC!$B$15</f>
        <v>141.60091777453889</v>
      </c>
    </row>
    <row r="17" spans="1:7">
      <c r="A17" s="15"/>
      <c r="B17" s="48">
        <v>6.5000000000000002E-2</v>
      </c>
      <c r="C17" s="95">
        <f t="array" ref="C17">(SUMPRODUCT(DCF!$C$27:$G$27,(1+$B17)^(-DCF!$C$29:$G$29))+DCF!$B$35*C$14*(1+$B17)^(-5)-WACC!$B$17+Bridge!$B$6+Bridge!$B$7)/WACC!$B$15</f>
        <v>93.222620122687275</v>
      </c>
      <c r="D17" s="95">
        <f t="array" ref="D17">(SUMPRODUCT(DCF!$C$27:$G$27,(1+$B17)^(-DCF!$C$29:$G$29))+DCF!$B$35*D$14*(1+$B17)^(-5)-WACC!$B$17+Bridge!$B$6+Bridge!$B$7)/WACC!$B$15</f>
        <v>104.28505456074983</v>
      </c>
      <c r="E17" s="95">
        <f t="array" ref="E17">(SUMPRODUCT(DCF!$C$27:$G$27,(1+$B17)^(-DCF!$C$29:$G$29))+DCF!$B$35*E$14*(1+$B17)^(-5)-WACC!$B$17+Bridge!$B$6+Bridge!$B$7)/WACC!$B$15</f>
        <v>115.34748899881238</v>
      </c>
      <c r="F17" s="95">
        <f t="array" ref="F17">(SUMPRODUCT(DCF!$C$27:$G$27,(1+$B17)^(-DCF!$C$29:$G$29))+DCF!$B$35*F$14*(1+$B17)^(-5)-WACC!$B$17+Bridge!$B$6+Bridge!$B$7)/WACC!$B$15</f>
        <v>126.40992343687495</v>
      </c>
      <c r="G17" s="95">
        <f t="array" ref="G17">(SUMPRODUCT(DCF!$C$27:$G$27,(1+$B17)^(-DCF!$C$29:$G$29))+DCF!$B$35*G$14*(1+$B17)^(-5)-WACC!$B$17+Bridge!$B$6+Bridge!$B$7)/WACC!$B$15</f>
        <v>137.4723578749375</v>
      </c>
    </row>
    <row r="18" spans="1:7">
      <c r="A18" s="15"/>
      <c r="B18" s="48">
        <v>7.0000000000000007E-2</v>
      </c>
      <c r="C18" s="95">
        <f t="array" ref="C18">(SUMPRODUCT(DCF!$C$27:$G$27,(1+$B18)^(-DCF!$C$29:$G$29))+DCF!$B$35*C$14*(1+$B18)^(-5)-WACC!$B$17+Bridge!$B$6+Bridge!$B$7)/WACC!$B$15</f>
        <v>90.230331412698575</v>
      </c>
      <c r="D18" s="95">
        <f t="array" ref="D18">(SUMPRODUCT(DCF!$C$27:$G$27,(1+$B18)^(-DCF!$C$29:$G$29))+DCF!$B$35*D$14*(1+$B18)^(-5)-WACC!$B$17+Bridge!$B$6+Bridge!$B$7)/WACC!$B$15</f>
        <v>101.03670208462721</v>
      </c>
      <c r="E18" s="95">
        <f t="array" ref="E18">(SUMPRODUCT(DCF!$C$27:$G$27,(1+$B18)^(-DCF!$C$29:$G$29))+DCF!$B$35*E$14*(1+$B18)^(-5)-WACC!$B$17+Bridge!$B$6+Bridge!$B$7)/WACC!$B$15</f>
        <v>111.84307275655584</v>
      </c>
      <c r="F18" s="95">
        <f t="array" ref="F18">(SUMPRODUCT(DCF!$C$27:$G$27,(1+$B18)^(-DCF!$C$29:$G$29))+DCF!$B$35*F$14*(1+$B18)^(-5)-WACC!$B$17+Bridge!$B$6+Bridge!$B$7)/WACC!$B$15</f>
        <v>122.64944342848445</v>
      </c>
      <c r="G18" s="95">
        <f t="array" ref="G18">(SUMPRODUCT(DCF!$C$27:$G$27,(1+$B18)^(-DCF!$C$29:$G$29))+DCF!$B$35*G$14*(1+$B18)^(-5)-WACC!$B$17+Bridge!$B$6+Bridge!$B$7)/WACC!$B$15</f>
        <v>133.45581410041311</v>
      </c>
    </row>
    <row r="19" spans="1:7">
      <c r="A19" s="15"/>
      <c r="B19" s="48">
        <v>7.4999999999999997E-2</v>
      </c>
      <c r="C19" s="95">
        <f t="array" ref="C19">(SUMPRODUCT(DCF!$C$27:$G$27,(1+$B19)^(-DCF!$C$29:$G$29))+DCF!$B$35*C$14*(1+$B19)^(-5)-WACC!$B$17+Bridge!$B$6+Bridge!$B$7)/WACC!$B$15</f>
        <v>87.318169853702642</v>
      </c>
      <c r="D19" s="95">
        <f t="array" ref="D19">(SUMPRODUCT(DCF!$C$27:$G$27,(1+$B19)^(-DCF!$C$29:$G$29))+DCF!$B$35*D$14*(1+$B19)^(-5)-WACC!$B$17+Bridge!$B$6+Bridge!$B$7)/WACC!$B$15</f>
        <v>97.875556507898551</v>
      </c>
      <c r="E19" s="95">
        <f t="array" ref="E19">(SUMPRODUCT(DCF!$C$27:$G$27,(1+$B19)^(-DCF!$C$29:$G$29))+DCF!$B$35*E$14*(1+$B19)^(-5)-WACC!$B$17+Bridge!$B$6+Bridge!$B$7)/WACC!$B$15</f>
        <v>108.43294316209446</v>
      </c>
      <c r="F19" s="95">
        <f t="array" ref="F19">(SUMPRODUCT(DCF!$C$27:$G$27,(1+$B19)^(-DCF!$C$29:$G$29))+DCF!$B$35*F$14*(1+$B19)^(-5)-WACC!$B$17+Bridge!$B$6+Bridge!$B$7)/WACC!$B$15</f>
        <v>118.99032981629034</v>
      </c>
      <c r="G19" s="95">
        <f t="array" ref="G19">(SUMPRODUCT(DCF!$C$27:$G$27,(1+$B19)^(-DCF!$C$29:$G$29))+DCF!$B$35*G$14*(1+$B19)^(-5)-WACC!$B$17+Bridge!$B$6+Bridge!$B$7)/WACC!$B$15</f>
        <v>129.54771647048625</v>
      </c>
    </row>
    <row r="20" spans="1:7">
      <c r="A20" s="15"/>
      <c r="B20" s="48">
        <v>0.08</v>
      </c>
      <c r="C20" s="95">
        <f t="array" ref="C20">(SUMPRODUCT(DCF!$C$27:$G$27,(1+$B20)^(-DCF!$C$29:$G$29))+DCF!$B$35*C$14*(1+$B20)^(-5)-WACC!$B$17+Bridge!$B$6+Bridge!$B$7)/WACC!$B$15</f>
        <v>84.483604781989698</v>
      </c>
      <c r="D20" s="95">
        <f t="array" ref="D20">(SUMPRODUCT(DCF!$C$27:$G$27,(1+$B20)^(-DCF!$C$29:$G$29))+DCF!$B$35*D$14*(1+$B20)^(-5)-WACC!$B$17+Bridge!$B$6+Bridge!$B$7)/WACC!$B$15</f>
        <v>94.798859848447023</v>
      </c>
      <c r="E20" s="95">
        <f t="array" ref="E20">(SUMPRODUCT(DCF!$C$27:$G$27,(1+$B20)^(-DCF!$C$29:$G$29))+DCF!$B$35*E$14*(1+$B20)^(-5)-WACC!$B$17+Bridge!$B$6+Bridge!$B$7)/WACC!$B$15</f>
        <v>105.11411491490436</v>
      </c>
      <c r="F20" s="95">
        <f t="array" ref="F20">(SUMPRODUCT(DCF!$C$27:$G$27,(1+$B20)^(-DCF!$C$29:$G$29))+DCF!$B$35*F$14*(1+$B20)^(-5)-WACC!$B$17+Bridge!$B$6+Bridge!$B$7)/WACC!$B$15</f>
        <v>115.42936998136172</v>
      </c>
      <c r="G20" s="95">
        <f t="array" ref="G20">(SUMPRODUCT(DCF!$C$27:$G$27,(1+$B20)^(-DCF!$C$29:$G$29))+DCF!$B$35*G$14*(1+$B20)^(-5)-WACC!$B$17+Bridge!$B$6+Bridge!$B$7)/WACC!$B$15</f>
        <v>125.74462504781904</v>
      </c>
    </row>
    <row r="21" spans="1:7">
      <c r="A21" s="15"/>
      <c r="B21" s="48">
        <v>8.5000000000000006E-2</v>
      </c>
      <c r="C21" s="95">
        <f t="array" ref="C21">(SUMPRODUCT(DCF!$C$27:$G$27,(1+$B21)^(-DCF!$C$29:$G$29))+DCF!$B$35*C$14*(1+$B21)^(-5)-WACC!$B$17+Bridge!$B$6+Bridge!$B$7)/WACC!$B$15</f>
        <v>81.72419704608572</v>
      </c>
      <c r="D21" s="95">
        <f t="array" ref="D21">(SUMPRODUCT(DCF!$C$27:$G$27,(1+$B21)^(-DCF!$C$29:$G$29))+DCF!$B$35*D$14*(1+$B21)^(-5)-WACC!$B$17+Bridge!$B$6+Bridge!$B$7)/WACC!$B$15</f>
        <v>91.803953939731272</v>
      </c>
      <c r="E21" s="95">
        <f t="array" ref="E21">(SUMPRODUCT(DCF!$C$27:$G$27,(1+$B21)^(-DCF!$C$29:$G$29))+DCF!$B$35*E$14*(1+$B21)^(-5)-WACC!$B$17+Bridge!$B$6+Bridge!$B$7)/WACC!$B$15</f>
        <v>101.88371083337685</v>
      </c>
      <c r="F21" s="95">
        <f t="array" ref="F21">(SUMPRODUCT(DCF!$C$27:$G$27,(1+$B21)^(-DCF!$C$29:$G$29))+DCF!$B$35*F$14*(1+$B21)^(-5)-WACC!$B$17+Bridge!$B$6+Bridge!$B$7)/WACC!$B$15</f>
        <v>111.96346772702239</v>
      </c>
      <c r="G21" s="95">
        <f t="array" ref="G21">(SUMPRODUCT(DCF!$C$27:$G$27,(1+$B21)^(-DCF!$C$29:$G$29))+DCF!$B$35*G$14*(1+$B21)^(-5)-WACC!$B$17+Bridge!$B$6+Bridge!$B$7)/WACC!$B$15</f>
        <v>122.04322462066797</v>
      </c>
    </row>
    <row r="22" spans="1:7">
      <c r="A22" s="15"/>
      <c r="B22" s="44"/>
      <c r="C22" s="15"/>
      <c r="D22" s="15"/>
      <c r="E22" s="15"/>
      <c r="F22" s="15"/>
      <c r="G22" s="15"/>
    </row>
    <row r="23" spans="1:7">
      <c r="A23" s="15"/>
      <c r="B23" s="15"/>
      <c r="C23" s="15"/>
      <c r="D23" s="15"/>
      <c r="E23" s="15"/>
      <c r="F23" s="15"/>
      <c r="G23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8"/>
  <sheetViews>
    <sheetView workbookViewId="0">
      <selection activeCell="B21" sqref="B21"/>
    </sheetView>
  </sheetViews>
  <sheetFormatPr baseColWidth="10" defaultRowHeight="16"/>
  <cols>
    <col min="1" max="1" width="35" bestFit="1" customWidth="1"/>
    <col min="2" max="2" width="33.83203125" bestFit="1" customWidth="1"/>
    <col min="3" max="3" width="11.5" bestFit="1" customWidth="1"/>
    <col min="4" max="4" width="11.6640625" bestFit="1" customWidth="1"/>
    <col min="5" max="5" width="9.1640625" bestFit="1" customWidth="1"/>
    <col min="9" max="9" width="12" bestFit="1" customWidth="1"/>
    <col min="10" max="10" width="13.6640625" bestFit="1" customWidth="1"/>
  </cols>
  <sheetData>
    <row r="1" spans="1:14">
      <c r="A1" s="15"/>
      <c r="B1" s="93" t="s">
        <v>205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>
      <c r="A3" s="93" t="s">
        <v>1</v>
      </c>
      <c r="B3" s="93" t="s">
        <v>206</v>
      </c>
      <c r="C3" s="93" t="s">
        <v>207</v>
      </c>
      <c r="D3" s="93" t="s">
        <v>208</v>
      </c>
      <c r="E3" s="93" t="s">
        <v>209</v>
      </c>
      <c r="F3" s="93" t="s">
        <v>210</v>
      </c>
      <c r="G3" s="93" t="s">
        <v>164</v>
      </c>
      <c r="H3" s="93" t="s">
        <v>156</v>
      </c>
      <c r="I3" s="93" t="s">
        <v>211</v>
      </c>
      <c r="J3" s="93" t="s">
        <v>212</v>
      </c>
      <c r="K3" s="93" t="s">
        <v>213</v>
      </c>
      <c r="L3" s="93" t="s">
        <v>214</v>
      </c>
      <c r="M3" s="93" t="s">
        <v>215</v>
      </c>
      <c r="N3" s="15"/>
    </row>
    <row r="4" spans="1:14">
      <c r="A4" s="99" t="s">
        <v>216</v>
      </c>
      <c r="B4" s="104">
        <v>80.45</v>
      </c>
      <c r="C4" s="108">
        <v>555.9</v>
      </c>
      <c r="D4" s="106">
        <f t="shared" ref="D4:D10" si="0">B4*C4</f>
        <v>44722.154999999999</v>
      </c>
      <c r="E4" s="109">
        <v>22080</v>
      </c>
      <c r="F4" s="106">
        <f t="shared" ref="F4:F10" si="1">D4+E4</f>
        <v>66802.154999999999</v>
      </c>
      <c r="G4" s="109">
        <v>6180</v>
      </c>
      <c r="H4" s="109">
        <v>19800</v>
      </c>
      <c r="I4" s="109">
        <v>2410</v>
      </c>
      <c r="J4" s="110">
        <f t="shared" ref="J4:J10" si="2">F4/G4</f>
        <v>10.809410194174758</v>
      </c>
      <c r="K4" s="110">
        <f t="shared" ref="K4:K10" si="3">F4/H4</f>
        <v>3.3738462121212121</v>
      </c>
      <c r="L4" s="110">
        <f t="shared" ref="L4:L10" si="4">D4/I4</f>
        <v>18.556910788381742</v>
      </c>
      <c r="M4" s="99" t="s">
        <v>217</v>
      </c>
      <c r="N4" s="15"/>
    </row>
    <row r="5" spans="1:14">
      <c r="A5" s="99" t="s">
        <v>218</v>
      </c>
      <c r="B5" s="104">
        <v>44.52</v>
      </c>
      <c r="C5" s="108">
        <v>52.37</v>
      </c>
      <c r="D5" s="106">
        <f t="shared" si="0"/>
        <v>2331.5124000000001</v>
      </c>
      <c r="E5" s="109">
        <v>690</v>
      </c>
      <c r="F5" s="106">
        <f t="shared" si="1"/>
        <v>3021.5124000000001</v>
      </c>
      <c r="G5" s="109">
        <v>200</v>
      </c>
      <c r="H5" s="109">
        <v>930</v>
      </c>
      <c r="I5" s="109">
        <v>70</v>
      </c>
      <c r="J5" s="110">
        <f t="shared" si="2"/>
        <v>15.107562</v>
      </c>
      <c r="K5" s="110">
        <f t="shared" si="3"/>
        <v>3.2489380645161292</v>
      </c>
      <c r="L5" s="110">
        <f t="shared" si="4"/>
        <v>33.307320000000004</v>
      </c>
      <c r="M5" s="99" t="s">
        <v>39</v>
      </c>
      <c r="N5" s="15"/>
    </row>
    <row r="6" spans="1:14">
      <c r="A6" s="99" t="s">
        <v>219</v>
      </c>
      <c r="B6" s="104">
        <v>5.46</v>
      </c>
      <c r="C6" s="108">
        <v>1160</v>
      </c>
      <c r="D6" s="106">
        <f t="shared" si="0"/>
        <v>6333.6</v>
      </c>
      <c r="E6" s="109">
        <v>2600</v>
      </c>
      <c r="F6" s="106">
        <f t="shared" si="1"/>
        <v>8933.6</v>
      </c>
      <c r="G6" s="109">
        <v>700</v>
      </c>
      <c r="H6" s="109">
        <v>3000</v>
      </c>
      <c r="I6" s="109">
        <v>350</v>
      </c>
      <c r="J6" s="110">
        <f t="shared" si="2"/>
        <v>12.762285714285715</v>
      </c>
      <c r="K6" s="110">
        <f t="shared" si="3"/>
        <v>2.9778666666666669</v>
      </c>
      <c r="L6" s="110">
        <f t="shared" si="4"/>
        <v>18.096</v>
      </c>
      <c r="M6" s="99" t="s">
        <v>39</v>
      </c>
      <c r="N6" s="15"/>
    </row>
    <row r="7" spans="1:14">
      <c r="A7" s="99" t="s">
        <v>220</v>
      </c>
      <c r="B7" s="104">
        <v>26.64</v>
      </c>
      <c r="C7" s="108">
        <v>459</v>
      </c>
      <c r="D7" s="106">
        <f t="shared" si="0"/>
        <v>12227.76</v>
      </c>
      <c r="E7" s="109">
        <v>2350</v>
      </c>
      <c r="F7" s="106">
        <f t="shared" si="1"/>
        <v>14577.76</v>
      </c>
      <c r="G7" s="109">
        <v>1210</v>
      </c>
      <c r="H7" s="109">
        <v>3920</v>
      </c>
      <c r="I7" s="109">
        <v>800</v>
      </c>
      <c r="J7" s="110">
        <f t="shared" si="2"/>
        <v>12.047735537190082</v>
      </c>
      <c r="K7" s="110">
        <f t="shared" si="3"/>
        <v>3.7188163265306122</v>
      </c>
      <c r="L7" s="110">
        <f t="shared" si="4"/>
        <v>15.284700000000001</v>
      </c>
      <c r="M7" s="99" t="s">
        <v>217</v>
      </c>
      <c r="N7" s="15"/>
    </row>
    <row r="8" spans="1:14">
      <c r="A8" s="99" t="s">
        <v>221</v>
      </c>
      <c r="B8" s="104">
        <v>35</v>
      </c>
      <c r="C8" s="108">
        <v>3590</v>
      </c>
      <c r="D8" s="106">
        <f t="shared" si="0"/>
        <v>125650</v>
      </c>
      <c r="E8" s="109">
        <v>15000</v>
      </c>
      <c r="F8" s="106">
        <f t="shared" si="1"/>
        <v>140650</v>
      </c>
      <c r="G8" s="109">
        <v>8000</v>
      </c>
      <c r="H8" s="109">
        <v>40000</v>
      </c>
      <c r="I8" s="109">
        <v>5000</v>
      </c>
      <c r="J8" s="110">
        <f t="shared" si="2"/>
        <v>17.581250000000001</v>
      </c>
      <c r="K8" s="110">
        <f t="shared" si="3"/>
        <v>3.5162499999999999</v>
      </c>
      <c r="L8" s="110">
        <f t="shared" si="4"/>
        <v>25.13</v>
      </c>
      <c r="M8" s="99" t="s">
        <v>222</v>
      </c>
      <c r="N8" s="15"/>
    </row>
    <row r="9" spans="1:14">
      <c r="A9" s="99" t="s">
        <v>223</v>
      </c>
      <c r="B9" s="104">
        <v>140.61000000000001</v>
      </c>
      <c r="C9" s="108">
        <v>172.8</v>
      </c>
      <c r="D9" s="106">
        <f t="shared" si="0"/>
        <v>24297.408000000003</v>
      </c>
      <c r="E9" s="109">
        <v>10470</v>
      </c>
      <c r="F9" s="106">
        <f t="shared" si="1"/>
        <v>34767.408000000003</v>
      </c>
      <c r="G9" s="109">
        <v>3280</v>
      </c>
      <c r="H9" s="109">
        <v>9140</v>
      </c>
      <c r="I9" s="109">
        <v>1690</v>
      </c>
      <c r="J9" s="110">
        <f t="shared" si="2"/>
        <v>10.599819512195124</v>
      </c>
      <c r="K9" s="110">
        <f t="shared" si="3"/>
        <v>3.8038739606126919</v>
      </c>
      <c r="L9" s="110">
        <f t="shared" si="4"/>
        <v>14.377164497041422</v>
      </c>
      <c r="M9" s="99" t="s">
        <v>217</v>
      </c>
      <c r="N9" s="15"/>
    </row>
    <row r="10" spans="1:14">
      <c r="A10" s="93" t="s">
        <v>224</v>
      </c>
      <c r="B10" s="104">
        <v>64.14</v>
      </c>
      <c r="C10" s="108">
        <v>251.8</v>
      </c>
      <c r="D10" s="106">
        <f t="shared" si="0"/>
        <v>16150.452000000001</v>
      </c>
      <c r="E10" s="109">
        <v>11200</v>
      </c>
      <c r="F10" s="106">
        <f t="shared" si="1"/>
        <v>27350.452000000001</v>
      </c>
      <c r="G10" s="109">
        <v>3373</v>
      </c>
      <c r="H10" s="109">
        <v>10040</v>
      </c>
      <c r="I10" s="109">
        <v>1410</v>
      </c>
      <c r="J10" s="110">
        <f t="shared" si="2"/>
        <v>8.1086427512600068</v>
      </c>
      <c r="K10" s="110">
        <f t="shared" si="3"/>
        <v>2.7241486055776893</v>
      </c>
      <c r="L10" s="110">
        <f t="shared" si="4"/>
        <v>11.454221276595746</v>
      </c>
      <c r="M10" s="99" t="s">
        <v>39</v>
      </c>
      <c r="N10" s="15"/>
    </row>
    <row r="11" spans="1:14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>
      <c r="A13" s="99" t="s">
        <v>225</v>
      </c>
      <c r="B13" s="15"/>
      <c r="C13" s="15"/>
      <c r="D13" s="15"/>
      <c r="E13" s="15"/>
      <c r="F13" s="15"/>
      <c r="G13" s="15"/>
      <c r="H13" s="15"/>
      <c r="I13" s="15"/>
      <c r="J13" s="110">
        <f>MEDIAN(J4:J9)</f>
        <v>12.405010625737898</v>
      </c>
      <c r="K13" s="110">
        <f>MEDIAN(K4:K9)</f>
        <v>3.445048106060606</v>
      </c>
      <c r="L13" s="110">
        <f>MEDIAN(L4:L9)</f>
        <v>18.326455394190873</v>
      </c>
      <c r="M13" s="15"/>
      <c r="N13" s="15"/>
    </row>
    <row r="14" spans="1:14">
      <c r="A14" s="99" t="s">
        <v>226</v>
      </c>
      <c r="B14" s="15"/>
      <c r="C14" s="15"/>
      <c r="D14" s="15"/>
      <c r="E14" s="15"/>
      <c r="F14" s="15"/>
      <c r="G14" s="15"/>
      <c r="H14" s="15"/>
      <c r="I14" s="15"/>
      <c r="J14" s="110">
        <f>AVERAGE(J4:J9)</f>
        <v>13.151343826307611</v>
      </c>
      <c r="K14" s="110">
        <f>AVERAGE(K4:K9)</f>
        <v>3.4399318717412188</v>
      </c>
      <c r="L14" s="110">
        <f>AVERAGE(L4:L9)</f>
        <v>20.792015880903861</v>
      </c>
      <c r="M14" s="15"/>
      <c r="N14" s="15"/>
    </row>
    <row r="15" spans="1:14">
      <c r="A15" s="99" t="s">
        <v>227</v>
      </c>
      <c r="B15" s="15"/>
      <c r="C15" s="15"/>
      <c r="D15" s="15"/>
      <c r="E15" s="15"/>
      <c r="F15" s="15"/>
      <c r="G15" s="15"/>
      <c r="H15" s="15"/>
      <c r="I15" s="15"/>
      <c r="J15" s="110">
        <f>QUARTILE(J4:J9,1)</f>
        <v>11.118991529928589</v>
      </c>
      <c r="K15" s="110">
        <f>QUARTILE(K4:K9,1)</f>
        <v>3.2801651014174</v>
      </c>
      <c r="L15" s="110">
        <f>QUARTILE(L4:L9,1)</f>
        <v>15.987525000000002</v>
      </c>
      <c r="M15" s="15"/>
      <c r="N15" s="15"/>
    </row>
    <row r="16" spans="1:14">
      <c r="A16" s="99" t="s">
        <v>228</v>
      </c>
      <c r="B16" s="15"/>
      <c r="C16" s="15"/>
      <c r="D16" s="15"/>
      <c r="E16" s="15"/>
      <c r="F16" s="15"/>
      <c r="G16" s="15"/>
      <c r="H16" s="15"/>
      <c r="I16" s="15"/>
      <c r="J16" s="110">
        <f>QUARTILE(J4:J9,3)</f>
        <v>14.521242928571429</v>
      </c>
      <c r="K16" s="110">
        <f>QUARTILE(K4:K9,3)</f>
        <v>3.6681747448979589</v>
      </c>
      <c r="L16" s="110">
        <f>QUARTILE(L4:L9,3)</f>
        <v>23.486727697095436</v>
      </c>
      <c r="M16" s="15"/>
      <c r="N16" s="15"/>
    </row>
    <row r="17" spans="1:14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1:14">
      <c r="A19" s="99" t="s">
        <v>229</v>
      </c>
      <c r="B19" s="105">
        <f>DCF!C21+DCF!C24</f>
        <v>3107.2363414399993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14">
      <c r="A20" s="99" t="s">
        <v>230</v>
      </c>
      <c r="B20" s="110">
        <f>J13</f>
        <v>12.405010625737898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1:14">
      <c r="A21" s="99" t="s">
        <v>231</v>
      </c>
      <c r="B21" s="106">
        <f>B19*B20</f>
        <v>38545.299832242141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>
      <c r="A22" s="99" t="s">
        <v>191</v>
      </c>
      <c r="B22" s="105">
        <f>-WACC!B17</f>
        <v>-11168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spans="1:14">
      <c r="A23" s="99" t="s">
        <v>232</v>
      </c>
      <c r="B23" s="105">
        <f>Bridge!B6+Bridge!B7</f>
        <v>-946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1:14">
      <c r="A24" s="99" t="s">
        <v>233</v>
      </c>
      <c r="B24" s="106">
        <f>B21+B22+B23</f>
        <v>26431.299832242141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4">
      <c r="A25" s="99" t="s">
        <v>195</v>
      </c>
      <c r="B25" s="95">
        <f>B24/WACC!B15</f>
        <v>105.05703657634302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1:14">
      <c r="A26" s="99" t="s">
        <v>234</v>
      </c>
      <c r="B26" s="95">
        <f>(B19*J15-WACC!B17+Bridge!B6+Bridge!B7)/WACC!B15</f>
        <v>89.174190396906269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1:14">
      <c r="A27" s="99" t="s">
        <v>235</v>
      </c>
      <c r="B27" s="95">
        <f>(B19*J16-WACC!B17+Bridge!B6+Bridge!B7)/WACC!B15</f>
        <v>131.19334532587044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1:14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1"/>
  <sheetViews>
    <sheetView workbookViewId="0">
      <selection activeCell="D27" sqref="D27"/>
    </sheetView>
  </sheetViews>
  <sheetFormatPr baseColWidth="10" defaultRowHeight="16"/>
  <cols>
    <col min="1" max="1" width="31.5" bestFit="1" customWidth="1"/>
    <col min="2" max="2" width="35.33203125" bestFit="1" customWidth="1"/>
    <col min="3" max="3" width="31.33203125" bestFit="1" customWidth="1"/>
    <col min="5" max="5" width="16.83203125" bestFit="1" customWidth="1"/>
    <col min="6" max="6" width="13.6640625" bestFit="1" customWidth="1"/>
  </cols>
  <sheetData>
    <row r="1" spans="1:7" ht="17" customHeight="1">
      <c r="A1" s="15"/>
      <c r="B1" s="93" t="s">
        <v>236</v>
      </c>
      <c r="C1" s="15"/>
      <c r="D1" s="15"/>
      <c r="E1" s="15"/>
      <c r="F1" s="15"/>
      <c r="G1" s="15"/>
    </row>
    <row r="2" spans="1:7">
      <c r="A2" s="15"/>
      <c r="B2" s="15"/>
      <c r="C2" s="15"/>
      <c r="D2" s="15"/>
      <c r="E2" s="15"/>
      <c r="F2" s="15"/>
      <c r="G2" s="15"/>
    </row>
    <row r="3" spans="1:7" ht="18" customHeight="1">
      <c r="A3" s="93" t="s">
        <v>237</v>
      </c>
      <c r="B3" s="93" t="s">
        <v>238</v>
      </c>
      <c r="C3" s="93" t="s">
        <v>239</v>
      </c>
      <c r="D3" s="93" t="s">
        <v>240</v>
      </c>
      <c r="E3" s="93" t="s">
        <v>241</v>
      </c>
      <c r="F3" s="93" t="s">
        <v>212</v>
      </c>
      <c r="G3" s="15"/>
    </row>
    <row r="4" spans="1:7" ht="19" customHeight="1">
      <c r="A4" s="111">
        <v>2024</v>
      </c>
      <c r="B4" s="99" t="s">
        <v>242</v>
      </c>
      <c r="C4" s="99" t="s">
        <v>243</v>
      </c>
      <c r="D4" s="109">
        <v>1220</v>
      </c>
      <c r="E4" s="109">
        <v>72</v>
      </c>
      <c r="F4" s="110">
        <f>D4/E4</f>
        <v>16.944444444444443</v>
      </c>
      <c r="G4" s="15"/>
    </row>
    <row r="5" spans="1:7" ht="19" customHeight="1">
      <c r="A5" s="111">
        <v>2017</v>
      </c>
      <c r="B5" s="99" t="s">
        <v>216</v>
      </c>
      <c r="C5" s="99" t="s">
        <v>244</v>
      </c>
      <c r="D5" s="97"/>
      <c r="E5" s="97"/>
      <c r="F5" s="46"/>
      <c r="G5" s="15"/>
    </row>
    <row r="6" spans="1:7" ht="19" customHeight="1">
      <c r="A6" s="111">
        <v>2016</v>
      </c>
      <c r="B6" s="99" t="s">
        <v>242</v>
      </c>
      <c r="C6" s="99" t="s">
        <v>245</v>
      </c>
      <c r="D6" s="109">
        <v>652</v>
      </c>
      <c r="E6" s="109">
        <v>47.4</v>
      </c>
      <c r="F6" s="110">
        <f>D6/E6</f>
        <v>13.755274261603375</v>
      </c>
      <c r="G6" s="15"/>
    </row>
    <row r="7" spans="1:7" ht="19" customHeight="1">
      <c r="A7" s="111">
        <v>2014</v>
      </c>
      <c r="B7" s="99" t="s">
        <v>246</v>
      </c>
      <c r="C7" s="99" t="s">
        <v>247</v>
      </c>
      <c r="D7" s="109">
        <v>16000</v>
      </c>
      <c r="E7" s="109">
        <v>780</v>
      </c>
      <c r="F7" s="110">
        <f>D7/E7</f>
        <v>20.512820512820515</v>
      </c>
      <c r="G7" s="15"/>
    </row>
    <row r="8" spans="1:7" ht="19" customHeight="1">
      <c r="A8" s="111">
        <v>2008</v>
      </c>
      <c r="B8" s="99" t="s">
        <v>248</v>
      </c>
      <c r="C8" s="99" t="s">
        <v>249</v>
      </c>
      <c r="D8" s="109">
        <v>5690</v>
      </c>
      <c r="E8" s="109">
        <v>285</v>
      </c>
      <c r="F8" s="110">
        <f>D8/E8</f>
        <v>19.964912280701753</v>
      </c>
      <c r="G8" s="15"/>
    </row>
    <row r="9" spans="1:7" ht="19" customHeight="1">
      <c r="A9" s="111">
        <v>2005</v>
      </c>
      <c r="B9" s="99" t="s">
        <v>248</v>
      </c>
      <c r="C9" s="99" t="s">
        <v>250</v>
      </c>
      <c r="D9" s="109">
        <v>10700</v>
      </c>
      <c r="E9" s="109">
        <v>890</v>
      </c>
      <c r="F9" s="110">
        <f>D9/E9</f>
        <v>12.02247191011236</v>
      </c>
      <c r="G9" s="15"/>
    </row>
    <row r="10" spans="1:7" ht="19" customHeight="1">
      <c r="A10" s="111">
        <v>2023</v>
      </c>
      <c r="B10" s="99" t="s">
        <v>242</v>
      </c>
      <c r="C10" s="99" t="s">
        <v>251</v>
      </c>
      <c r="D10" s="97"/>
      <c r="E10" s="97"/>
      <c r="F10" s="46"/>
      <c r="G10" s="15"/>
    </row>
    <row r="11" spans="1:7">
      <c r="A11" s="15"/>
      <c r="B11" s="15"/>
      <c r="C11" s="15"/>
      <c r="D11" s="15"/>
      <c r="E11" s="15"/>
      <c r="F11" s="15"/>
      <c r="G11" s="15"/>
    </row>
    <row r="12" spans="1:7" ht="19" customHeight="1">
      <c r="A12" s="99" t="s">
        <v>252</v>
      </c>
      <c r="B12" s="110">
        <f>MEDIAN(F4:F10)</f>
        <v>16.944444444444443</v>
      </c>
      <c r="C12" s="15"/>
      <c r="D12" s="15"/>
      <c r="E12" s="15"/>
      <c r="F12" s="15"/>
      <c r="G12" s="15"/>
    </row>
    <row r="13" spans="1:7" ht="19" customHeight="1">
      <c r="A13" s="99" t="s">
        <v>226</v>
      </c>
      <c r="B13" s="110">
        <f>AVERAGE(F4:F10)</f>
        <v>16.63998468193649</v>
      </c>
      <c r="C13" s="15"/>
      <c r="D13" s="15"/>
      <c r="E13" s="15"/>
      <c r="F13" s="15"/>
      <c r="G13" s="15"/>
    </row>
    <row r="14" spans="1:7">
      <c r="A14" s="15"/>
      <c r="B14" s="15"/>
      <c r="C14" s="15"/>
      <c r="D14" s="15"/>
      <c r="E14" s="15"/>
      <c r="F14" s="15"/>
      <c r="G14" s="15"/>
    </row>
    <row r="15" spans="1:7" ht="18" customHeight="1">
      <c r="A15" s="99" t="s">
        <v>229</v>
      </c>
      <c r="B15" s="105">
        <f>DCF!C21+DCF!C24</f>
        <v>3107.2363414399993</v>
      </c>
      <c r="C15" s="15"/>
      <c r="D15" s="15"/>
      <c r="E15" s="15"/>
      <c r="F15" s="15"/>
      <c r="G15" s="15"/>
    </row>
    <row r="16" spans="1:7" ht="18" customHeight="1">
      <c r="A16" s="99" t="s">
        <v>230</v>
      </c>
      <c r="B16" s="110">
        <f>B12</f>
        <v>16.944444444444443</v>
      </c>
      <c r="C16" s="15"/>
      <c r="D16" s="15"/>
      <c r="E16" s="15"/>
      <c r="F16" s="15"/>
      <c r="G16" s="15"/>
    </row>
    <row r="17" spans="1:7" ht="18" customHeight="1">
      <c r="A17" s="99" t="s">
        <v>231</v>
      </c>
      <c r="B17" s="106">
        <f>B15*B16</f>
        <v>52650.393563288868</v>
      </c>
      <c r="C17" s="15"/>
      <c r="D17" s="15"/>
      <c r="E17" s="15"/>
      <c r="F17" s="15"/>
      <c r="G17" s="15"/>
    </row>
    <row r="18" spans="1:7" ht="18" customHeight="1">
      <c r="A18" s="99" t="s">
        <v>191</v>
      </c>
      <c r="B18" s="105">
        <f>-WACC!B17</f>
        <v>-11168</v>
      </c>
      <c r="C18" s="15"/>
      <c r="D18" s="15"/>
      <c r="E18" s="15"/>
      <c r="F18" s="15"/>
      <c r="G18" s="15"/>
    </row>
    <row r="19" spans="1:7" ht="18" customHeight="1">
      <c r="A19" s="99" t="s">
        <v>232</v>
      </c>
      <c r="B19" s="105">
        <f>Bridge!B6+Bridge!B7</f>
        <v>-946</v>
      </c>
      <c r="C19" s="15"/>
      <c r="D19" s="15"/>
      <c r="E19" s="15"/>
      <c r="F19" s="15"/>
      <c r="G19" s="15"/>
    </row>
    <row r="20" spans="1:7" ht="18" customHeight="1">
      <c r="A20" s="99" t="s">
        <v>233</v>
      </c>
      <c r="B20" s="106">
        <f>B17+B18+B19</f>
        <v>40536.393563288868</v>
      </c>
      <c r="C20" s="15"/>
      <c r="D20" s="15"/>
      <c r="E20" s="15"/>
      <c r="F20" s="15"/>
      <c r="G20" s="15"/>
    </row>
    <row r="21" spans="1:7" ht="18" customHeight="1">
      <c r="A21" s="99" t="s">
        <v>195</v>
      </c>
      <c r="B21" s="95">
        <f>B20/WACC!B15</f>
        <v>161.12084567466459</v>
      </c>
      <c r="C21" s="15"/>
      <c r="D21" s="15"/>
      <c r="E21" s="15"/>
      <c r="F21" s="15"/>
      <c r="G21" s="1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9"/>
  <sheetViews>
    <sheetView workbookViewId="0">
      <selection activeCell="E13" sqref="E13"/>
    </sheetView>
  </sheetViews>
  <sheetFormatPr baseColWidth="10" defaultRowHeight="16"/>
  <cols>
    <col min="1" max="1" width="31.1640625" bestFit="1" customWidth="1"/>
    <col min="2" max="2" width="32.33203125" bestFit="1" customWidth="1"/>
    <col min="3" max="3" width="13.33203125" bestFit="1" customWidth="1"/>
    <col min="4" max="4" width="15.1640625" bestFit="1" customWidth="1"/>
  </cols>
  <sheetData>
    <row r="1" spans="1:4" s="47" customFormat="1" ht="17" customHeight="1">
      <c r="A1" s="98"/>
      <c r="B1" s="93" t="s">
        <v>253</v>
      </c>
      <c r="C1" s="98"/>
      <c r="D1" s="98"/>
    </row>
    <row r="2" spans="1:4" ht="17" customHeight="1">
      <c r="A2" s="15"/>
      <c r="B2" s="43"/>
      <c r="C2" s="15"/>
      <c r="D2" s="15"/>
    </row>
    <row r="3" spans="1:4" ht="18" customHeight="1">
      <c r="A3" s="99" t="s">
        <v>254</v>
      </c>
      <c r="B3" s="102" t="s">
        <v>255</v>
      </c>
      <c r="C3" s="102" t="s">
        <v>256</v>
      </c>
      <c r="D3" s="43"/>
    </row>
    <row r="4" spans="1:4" ht="18" customHeight="1">
      <c r="A4" s="99" t="s">
        <v>19</v>
      </c>
      <c r="B4" s="95">
        <f>Sensitivity!D9</f>
        <v>82.748935055576936</v>
      </c>
      <c r="C4" s="95">
        <f>Sensitivity!D8</f>
        <v>94.95212835402215</v>
      </c>
      <c r="D4" s="15"/>
    </row>
    <row r="5" spans="1:4" ht="18" customHeight="1">
      <c r="A5" s="99" t="s">
        <v>257</v>
      </c>
      <c r="B5" s="95">
        <f>Sensitivity!D19</f>
        <v>97.875556507898551</v>
      </c>
      <c r="C5" s="95">
        <f>Sensitivity!D18</f>
        <v>101.03670208462721</v>
      </c>
      <c r="D5" s="15"/>
    </row>
    <row r="6" spans="1:4" ht="18" customHeight="1">
      <c r="A6" s="99" t="s">
        <v>258</v>
      </c>
      <c r="B6" s="95">
        <f>Trading_Comps!B26</f>
        <v>89.174190396906269</v>
      </c>
      <c r="C6" s="95">
        <f>Trading_Comps!B27</f>
        <v>131.19334532587044</v>
      </c>
      <c r="D6" s="15"/>
    </row>
    <row r="7" spans="1:4" ht="18" customHeight="1">
      <c r="A7" s="99" t="s">
        <v>259</v>
      </c>
      <c r="B7" s="95">
        <f>Precedent_Transactions!B21*0.85</f>
        <v>136.95271882346489</v>
      </c>
      <c r="C7" s="95">
        <f>Precedent_Transactions!B21*1.15</f>
        <v>185.28897252586427</v>
      </c>
      <c r="D7" s="15"/>
    </row>
    <row r="8" spans="1:4" ht="18" customHeight="1">
      <c r="A8" s="99" t="s">
        <v>260</v>
      </c>
      <c r="B8" s="95">
        <f>Data!B6</f>
        <v>58.6</v>
      </c>
      <c r="C8" s="95">
        <f>Data!B7</f>
        <v>107.45</v>
      </c>
      <c r="D8" s="15"/>
    </row>
    <row r="9" spans="1:4" ht="18" customHeight="1">
      <c r="A9" s="99" t="s">
        <v>22</v>
      </c>
      <c r="B9" s="111">
        <v>75</v>
      </c>
      <c r="C9" s="111">
        <v>100</v>
      </c>
      <c r="D9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</vt:lpstr>
      <vt:lpstr>Data</vt:lpstr>
      <vt:lpstr>Assumptions</vt:lpstr>
      <vt:lpstr>Income_Statement</vt:lpstr>
      <vt:lpstr>DCF</vt:lpstr>
      <vt:lpstr>WACC</vt:lpstr>
      <vt:lpstr>Bridge</vt:lpstr>
      <vt:lpstr>Sensitivity</vt:lpstr>
      <vt:lpstr>Trading_Comps</vt:lpstr>
      <vt:lpstr>Precedent_Transactions</vt:lpstr>
      <vt:lpstr>Football_Field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REZO SABASHVILI</dc:creator>
  <cp:lastModifiedBy>REZO SABASHVILI</cp:lastModifiedBy>
  <dcterms:created xsi:type="dcterms:W3CDTF">2026-06-20T06:38:18Z</dcterms:created>
  <dcterms:modified xsi:type="dcterms:W3CDTF">2026-06-23T11:42:33Z</dcterms:modified>
</cp:coreProperties>
</file>
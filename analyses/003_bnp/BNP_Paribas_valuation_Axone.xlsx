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" sheetId="2" state="visible" r:id="rId4"/>
    <sheet name="Assumptions" sheetId="3" state="visible" r:id="rId5"/>
    <sheet name="Income_Statement" sheetId="4" state="visible" r:id="rId6"/>
    <sheet name="DDM" sheetId="5" state="visible" r:id="rId7"/>
    <sheet name="Cost_of_Equity" sheetId="6" state="visible" r:id="rId8"/>
    <sheet name="Bridge" sheetId="7" state="visible" r:id="rId9"/>
    <sheet name="Sensitivity" sheetId="8" state="visible" r:id="rId10"/>
    <sheet name="Trading_Comps" sheetId="9" state="visible" r:id="rId11"/>
    <sheet name="Precedent_Transactions" sheetId="10" state="visible" r:id="rId12"/>
    <sheet name="Football_Field" sheetId="11" state="visible" r:id="rId13"/>
    <sheet name="Chart_Dat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FY26E growth implied by H1-26 x full-year factor (DDM tab)</t>
        </r>
      </text>
    </comment>
    <comment ref="B11" authorId="0">
      <text>
        <r>
          <rPr>
            <sz val="10"/>
            <rFont val="Arial"/>
            <family val="2"/>
          </rPr>
          <t xml:space="preserve">FY26E growth implied by H1-26 x full-year factor (DDM tab)</t>
        </r>
      </text>
    </comment>
    <comment ref="B12" authorId="0">
      <text>
        <r>
          <rPr>
            <sz val="10"/>
            <rFont val="Arial"/>
            <family val="2"/>
          </rPr>
          <t xml:space="preserve">FY26E growth implied by H1-26 x full-year factor (DDM tab)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7" authorId="0">
      <text>
        <r>
          <rPr>
            <sz val="10"/>
            <rFont val="Arial"/>
            <family val="2"/>
          </rPr>
          <t xml:space="preserve">Tangible equity used by BNP for RoTE at Dec-25 (net of the final 2025 dividend)</t>
        </r>
      </text>
    </comment>
    <comment ref="C33" authorId="0">
      <text>
        <r>
          <rPr>
            <sz val="10"/>
            <rFont val="Arial"/>
            <family val="2"/>
          </rPr>
          <t xml:space="preserve">FY26E distribution follows the 60% policy; the capital line is shown as a memo only</t>
        </r>
      </text>
    </comment>
    <comment ref="C44" authorId="0">
      <text>
        <r>
          <rPr>
            <sz val="10"/>
            <rFont val="Arial"/>
            <family val="2"/>
          </rPr>
          <t xml:space="preserve">Anchored on 30-Jun-26 TBVPS (98.4) x shares: IFRS equity at that date includes H1 profit and is not yet net of the 2026 interim</t>
        </r>
      </text>
    </comment>
    <comment ref="C45" authorId="0">
      <text>
        <r>
          <rPr>
            <sz val="10"/>
            <rFont val="Arial"/>
            <family val="2"/>
          </rPr>
          <t xml:space="preserve">H2-26 only: FY26E NI to ordinary less H1-26 EPS x shares</t>
        </r>
      </text>
    </comment>
    <comment ref="C46" authorId="0">
      <text>
        <r>
          <rPr>
            <sz val="10"/>
            <rFont val="Arial"/>
            <family val="2"/>
          </rPr>
          <t xml:space="preserve">Full FY26 distribution (interim paid Sep-26 + remainder accrued)</t>
        </r>
      </text>
    </comment>
    <comment ref="C55" authorId="0">
      <text>
        <r>
          <rPr>
            <sz val="10"/>
            <rFont val="Arial"/>
            <family val="2"/>
          </rPr>
          <t xml:space="preserve">FY26E remainder still to be paid (final dividend + buyback): total FY26 distribution less the interim paid in Sep-26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7" authorId="0">
      <text>
        <r>
          <rPr>
            <sz val="10"/>
            <rFont val="Arial"/>
            <family val="2"/>
          </rPr>
          <t xml:space="preserve">Societe Generale: ~46% of revenues generated in France (French retail, private banking and insurance)</t>
        </r>
      </text>
    </comment>
  </commentList>
</comments>
</file>

<file path=xl/sharedStrings.xml><?xml version="1.0" encoding="utf-8"?>
<sst xmlns="http://schemas.openxmlformats.org/spreadsheetml/2006/main" count="813" uniqueCount="583">
  <si>
    <t xml:space="preserve">BNP Paribas SA - Equity Research Summary</t>
  </si>
  <si>
    <t xml:space="preserve">Company</t>
  </si>
  <si>
    <t xml:space="preserve">BNP Paribas SA</t>
  </si>
  <si>
    <t xml:space="preserve">Ticker</t>
  </si>
  <si>
    <t xml:space="preserve">BNP FP (Euronext Paris)</t>
  </si>
  <si>
    <t xml:space="preserve">Sector</t>
  </si>
  <si>
    <t xml:space="preserve">Banks (diversified European universal bank)</t>
  </si>
  <si>
    <t xml:space="preserve">Pricing date</t>
  </si>
  <si>
    <t xml:space="preserve">Recommendation</t>
  </si>
  <si>
    <t xml:space="preserve">Current price (EUR)</t>
  </si>
  <si>
    <t xml:space="preserve">Target price (EUR, 12-month)</t>
  </si>
  <si>
    <t xml:space="preserve">Upside / (downside)</t>
  </si>
  <si>
    <t xml:space="preserve">TARGET PRICE METHODOLOGY</t>
  </si>
  <si>
    <t xml:space="preserve">EUR / share</t>
  </si>
  <si>
    <t xml:space="preserve">Weight</t>
  </si>
  <si>
    <t xml:space="preserve">Dividend discount (average excess-capital DDM / Gordon P/TBV)</t>
  </si>
  <si>
    <t xml:space="preserve">Trading comps - P/TBV vs RoTE, French-adjusted</t>
  </si>
  <si>
    <t xml:space="preserve">Precedent transactions - P/TBV per RoTE point</t>
  </si>
  <si>
    <t xml:space="preserve">Weights check</t>
  </si>
  <si>
    <t xml:space="preserve">Target price (EUR)</t>
  </si>
  <si>
    <t xml:space="preserve">VALUATION SUMMARY (EUR / share)</t>
  </si>
  <si>
    <t xml:space="preserve">Excess-capital DDM</t>
  </si>
  <si>
    <t xml:space="preserve">Gordon justified P/TBV</t>
  </si>
  <si>
    <t xml:space="preserve">Trading comps (base / full SocGen discount / no discount)</t>
  </si>
  <si>
    <t xml:space="preserve">Precedent transactions (median / Q1 / Q3)</t>
  </si>
  <si>
    <t xml:space="preserve">2026 trading range (low / high)</t>
  </si>
  <si>
    <t xml:space="preserve">Analyst consensus (avg / low / high)</t>
  </si>
  <si>
    <t xml:space="preserve">Bear / bull scenario (DDM leg)</t>
  </si>
  <si>
    <t xml:space="preserve">KEY STATISTICS</t>
  </si>
  <si>
    <t xml:space="preserve">Market cap (EUR m)</t>
  </si>
  <si>
    <t xml:space="preserve">P/TBV (Jun-26 TBVPS)</t>
  </si>
  <si>
    <t xml:space="preserve">P/E FY26E</t>
  </si>
  <si>
    <t xml:space="preserve">P/E FY27E</t>
  </si>
  <si>
    <t xml:space="preserve">Dividend yield FY26E (cash dividend only)</t>
  </si>
  <si>
    <t xml:space="preserve">Total distribution yield FY27E (dividend + buyback)</t>
  </si>
  <si>
    <t xml:space="preserve">RoTE FY26E / FY28E</t>
  </si>
  <si>
    <t xml:space="preserve">Cost of equity (CAPM on OAT)</t>
  </si>
  <si>
    <t xml:space="preserve">Cost of equity implied by the share price</t>
  </si>
  <si>
    <t xml:space="preserve">CET1 ratio / requirement (Jun-26)</t>
  </si>
  <si>
    <t xml:space="preserve">Next catalyst</t>
  </si>
  <si>
    <t xml:space="preserve">3Q26 results, 28-Oct-2026</t>
  </si>
  <si>
    <t xml:space="preserve">Disclaimer</t>
  </si>
  <si>
    <t xml:space="preserve">Educational use only - not investment advice. Built on public filings and consensus data as of 27-Oct-2026, before the 3Q26 release.</t>
  </si>
  <si>
    <t xml:space="preserve">Colour code</t>
  </si>
  <si>
    <t xml:space="preserve">Blue = hard-coded inputs | Green = links to other tabs | Black = formulas</t>
  </si>
  <si>
    <t xml:space="preserve">field</t>
  </si>
  <si>
    <t xml:space="preserve">value</t>
  </si>
  <si>
    <t xml:space="preserve">unit</t>
  </si>
  <si>
    <t xml:space="preserve">currency</t>
  </si>
  <si>
    <t xml:space="preserve">as_of_date</t>
  </si>
  <si>
    <t xml:space="preserve">source</t>
  </si>
  <si>
    <t xml:space="preserve">auto</t>
  </si>
  <si>
    <t xml:space="preserve">share_price</t>
  </si>
  <si>
    <t xml:space="preserve">per_share</t>
  </si>
  <si>
    <t xml:space="preserve">EUR</t>
  </si>
  <si>
    <t xml:space="preserve">Euronext Paris close 27-Oct-2026 (InvestSMART / Euronext)</t>
  </si>
  <si>
    <t xml:space="preserve">Y</t>
  </si>
  <si>
    <t xml:space="preserve">shares_current</t>
  </si>
  <si>
    <t xml:space="preserve">million</t>
  </si>
  <si>
    <t xml:space="preserve">BNP Paribas share capital disclosure Aug-2026: shares outstanding excl. treasury</t>
  </si>
  <si>
    <t xml:space="preserve">N</t>
  </si>
  <si>
    <t xml:space="preserve">shares_dec25</t>
  </si>
  <si>
    <t xml:space="preserve">BNP Paribas 4Q25 results: shares outstanding excl. treasury (1,117m issued)</t>
  </si>
  <si>
    <t xml:space="preserve">isin</t>
  </si>
  <si>
    <t xml:space="preserve">FR0000131104</t>
  </si>
  <si>
    <t xml:space="preserve">Euronext</t>
  </si>
  <si>
    <t xml:space="preserve">ticker_bbg</t>
  </si>
  <si>
    <t xml:space="preserve">BNP FP</t>
  </si>
  <si>
    <t xml:space="preserve">Bloomberg</t>
  </si>
  <si>
    <t xml:space="preserve">range_low_2026</t>
  </si>
  <si>
    <t xml:space="preserve">2026 year-to-date low (Investing.com)</t>
  </si>
  <si>
    <t xml:space="preserve">range_high_2026</t>
  </si>
  <si>
    <t xml:space="preserve">2026 year-to-date high, Aug-2026 (Investing.com)</t>
  </si>
  <si>
    <t xml:space="preserve">beta_raw</t>
  </si>
  <si>
    <t xml:space="preserve">ABC Bourse: 1-year beta vs CAC 40</t>
  </si>
  <si>
    <t xml:space="preserve">oat_10y</t>
  </si>
  <si>
    <t xml:space="preserve">%</t>
  </si>
  <si>
    <t xml:space="preserve">Banque de France: French OAT 10Y benchmark yield</t>
  </si>
  <si>
    <t xml:space="preserve">bund_10y</t>
  </si>
  <si>
    <t xml:space="preserve">Bundesbank: German Bund 10Y yield (memo)</t>
  </si>
  <si>
    <t xml:space="preserve">erp</t>
  </si>
  <si>
    <t xml:space="preserve">Mature-market ERP + France premium (Damodaran), same as Pernod / LVMH models</t>
  </si>
  <si>
    <t xml:space="preserve">eps_fy24</t>
  </si>
  <si>
    <t xml:space="preserve">BNP Paribas FY24 results (net of AT1 coupons)</t>
  </si>
  <si>
    <t xml:space="preserve">eps_fy25</t>
  </si>
  <si>
    <t xml:space="preserve">BNP Paribas 4Q25 results (3-Feb-2026)</t>
  </si>
  <si>
    <t xml:space="preserve">eps_h1_26</t>
  </si>
  <si>
    <t xml:space="preserve">BNP Paribas 2Q26 results (24-Jul-2026)</t>
  </si>
  <si>
    <t xml:space="preserve">dps_fy25</t>
  </si>
  <si>
    <t xml:space="preserve">2.59 interim (Oct-25) + 2.57 final (May-26)</t>
  </si>
  <si>
    <t xml:space="preserve">interim_dps_fy26</t>
  </si>
  <si>
    <t xml:space="preserve">Interim = 50% of H1-26 EPS, paid 28-Sep-2026</t>
  </si>
  <si>
    <t xml:space="preserve">buyback_fy25</t>
  </si>
  <si>
    <t xml:space="preserve">Share buyback on 2025 results, completed 19-Dec-2025</t>
  </si>
  <si>
    <t xml:space="preserve">at1_coupons_fy25</t>
  </si>
  <si>
    <t xml:space="preserve">Derived: net income 12,225 - EPS 10.29 x 1,119m average shares</t>
  </si>
  <si>
    <t xml:space="preserve">tbvps_dec24</t>
  </si>
  <si>
    <t xml:space="preserve">Net tangible book value per share, 4Q24 slides</t>
  </si>
  <si>
    <t xml:space="preserve">tbvps_dec25</t>
  </si>
  <si>
    <t xml:space="preserve">Net tangible book value per share, 4Q25 slides</t>
  </si>
  <si>
    <t xml:space="preserve">tbvps_jun26</t>
  </si>
  <si>
    <t xml:space="preserve">Net tangible book value per share, 2Q26 slides</t>
  </si>
  <si>
    <t xml:space="preserve">bvps_dec25</t>
  </si>
  <si>
    <t xml:space="preserve">Net book value per share, 4Q25 slides</t>
  </si>
  <si>
    <t xml:space="preserve">te_rote_dec25</t>
  </si>
  <si>
    <t xml:space="preserve">Tangible equity used for RoTE (net of distribution), 4Q25 slides</t>
  </si>
  <si>
    <t xml:space="preserve">rote_fy24</t>
  </si>
  <si>
    <t xml:space="preserve">Reported RoTE 2024</t>
  </si>
  <si>
    <t xml:space="preserve">rote_fy25</t>
  </si>
  <si>
    <t xml:space="preserve">Reported RoTE 2025</t>
  </si>
  <si>
    <t xml:space="preserve">rote_q2_26</t>
  </si>
  <si>
    <t xml:space="preserve">Reported RoTE 2Q26</t>
  </si>
  <si>
    <t xml:space="preserve">cet1_dec25</t>
  </si>
  <si>
    <t xml:space="preserve">CET1 ratio, 4Q25</t>
  </si>
  <si>
    <t xml:space="preserve">cet1_jun26</t>
  </si>
  <si>
    <t xml:space="preserve">CET1 ratio, 2Q26</t>
  </si>
  <si>
    <t xml:space="preserve">srep_cet1</t>
  </si>
  <si>
    <t xml:space="preserve">CET1 requirement (SREP + buffers), 2Q26 slides</t>
  </si>
  <si>
    <t xml:space="preserve">leverage_jun26</t>
  </si>
  <si>
    <t xml:space="preserve">Leverage ratio, 2Q26</t>
  </si>
  <si>
    <t xml:space="preserve">lcr_jun26</t>
  </si>
  <si>
    <t xml:space="preserve">Liquidity coverage ratio, 2Q26</t>
  </si>
  <si>
    <t xml:space="preserve">rwa_dec25</t>
  </si>
  <si>
    <t xml:space="preserve">billion</t>
  </si>
  <si>
    <t xml:space="preserve">Risk-weighted assets, 4Q25</t>
  </si>
  <si>
    <t xml:space="preserve">cor_q2_26_bp</t>
  </si>
  <si>
    <t xml:space="preserve">bp</t>
  </si>
  <si>
    <t xml:space="preserve">Cost of risk in bp of customer loans, 2Q26</t>
  </si>
  <si>
    <t xml:space="preserve">france_rev_share</t>
  </si>
  <si>
    <t xml:space="preserve">France share of group revenues (RBC Capital Markets)</t>
  </si>
  <si>
    <t xml:space="preserve">france_pbt_share</t>
  </si>
  <si>
    <t xml:space="preserve">France share of 2025 pre-tax income (BNP pre-3Q26 information note)</t>
  </si>
  <si>
    <t xml:space="preserve">french_sov_exposure</t>
  </si>
  <si>
    <t xml:space="preserve">French sovereign bonds ~EUR 20bn, of which EUR 16bn at amortised cost (pre-3Q26 note)</t>
  </si>
  <si>
    <t xml:space="preserve">guidance_rote_2026</t>
  </si>
  <si>
    <t xml:space="preserve">2026 guidance: RoTE ~12%, C/I ~60%, cost of risk &lt; 40bp</t>
  </si>
  <si>
    <t xml:space="preserve">guidance_rote_2028</t>
  </si>
  <si>
    <t xml:space="preserve">2028 targets: RoTE &gt; 13%, C/I &lt; 56%, NI CAGR 2025-28 &gt; 10%, CET1 13%</t>
  </si>
  <si>
    <t xml:space="preserve">consensus_tp_avg</t>
  </si>
  <si>
    <t xml:space="preserve">Investing.com consensus target price (average)</t>
  </si>
  <si>
    <t xml:space="preserve">consensus_tp_low</t>
  </si>
  <si>
    <t xml:space="preserve">Investing.com - lowest target</t>
  </si>
  <si>
    <t xml:space="preserve">consensus_tp_high</t>
  </si>
  <si>
    <t xml:space="preserve">Investing.com - highest target</t>
  </si>
  <si>
    <t xml:space="preserve">q3_results_date</t>
  </si>
  <si>
    <t xml:space="preserve">date</t>
  </si>
  <si>
    <t xml:space="preserve">3Q26 results release (BNP financial calendar)</t>
  </si>
  <si>
    <t xml:space="preserve">Primary sources</t>
  </si>
  <si>
    <t xml:space="preserve">BNP Paribas 4Q25 / FY25 results (3-Feb-2026) and 2Q26 / H1-26 results (24-Jul-2026): press releases and slides, invest.bnpparibas</t>
  </si>
  <si>
    <t xml:space="preserve">BNP Paribas pre-3Q26 information note (Oct-2026) and analysts' consensus pre-2Q26 (10-Jul-2026), invest.bnpparibas</t>
  </si>
  <si>
    <t xml:space="preserve">Peer H1-26 releases: Societe Generale, Deutsche Bank, Commerzbank, Santander, BBVA, UniCredit, Intesa Sanpaolo</t>
  </si>
  <si>
    <t xml:space="preserve">Deals: Santander / Webster (Feb-26) and Santander / TSB press releases; Webster 425 filing; BPCE / Novo Banco (Reuters Breakingviews); Erste / Santander Polska; MPS / Mediobanca and UniCredit / Banco BPM offer documents; UniCredit / Commerzbank offer (Mar-26)</t>
  </si>
  <si>
    <t xml:space="preserve">Rates: Banque de France (OAT), Bundesbank (Bund); press coverage of the Oct-2026 French sovereign sell-off (OAT &gt; 5%)</t>
  </si>
  <si>
    <t xml:space="preserve">BNP Paribas - Key Assumptions</t>
  </si>
  <si>
    <t xml:space="preserve">Driver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</si>
  <si>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</si>
  <si>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</si>
  <si>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</si>
  <si>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</si>
  <si>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</si>
  <si>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</si>
  <si>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Rationale / source</t>
  </si>
  <si>
    <t xml:space="preserve">FY26E revenue build: H1-26 actual x full-year factor</t>
  </si>
  <si>
    <t xml:space="preserve">CPBS full-year factor (x H1-26)</t>
  </si>
  <si>
    <t xml:space="preserve">French retail NII repricing offsets lighter Q4 fees; FY25 H2 slightly above H1</t>
  </si>
  <si>
    <t xml:space="preserve">IPS full-year factor (x H1-26)</t>
  </si>
  <si>
    <t xml:space="preserve">Athlon consolidated from 31-Jul-26 offsets softer markets in Q3</t>
  </si>
  <si>
    <t xml:space="preserve">CIB full-year factor (x H1-26)</t>
  </si>
  <si>
    <t xml:space="preserve">CIB H2 seasonally ~10% below a strong H1-26 (Q4 lighter in Global Markets)</t>
  </si>
  <si>
    <t xml:space="preserve">Corporate Centre H2-26E revenues (EUR m)</t>
  </si>
  <si>
    <t xml:space="preserve">2026 guidance: Corporate Centre GOI ~ -EUR 1.2bn; H1-26 revenues -96</t>
  </si>
  <si>
    <t xml:space="preserve">Revenue growth by division (% YoY) - FY26E column implied by the build above</t>
  </si>
  <si>
    <t xml:space="preserve">CPBS revenue growth</t>
  </si>
  <si>
    <t xml:space="preserve">Deposit repricing, BNL / Belgium / Luxembourg, Personal Finance turnaround; consensus revenue CAGR 26-29E ~4.4%</t>
  </si>
  <si>
    <t xml:space="preserve">IPS revenue growth</t>
  </si>
  <si>
    <t xml:space="preserve">AXA IM integration synergies, Cardif and wealth inflows</t>
  </si>
  <si>
    <t xml:space="preserve">CIB revenue growth</t>
  </si>
  <si>
    <t xml:space="preserve">Financing and Global Markets share gains; below the 2022-25 trend</t>
  </si>
  <si>
    <t xml:space="preserve">Corporate Centre revenues (EUR m)</t>
  </si>
  <si>
    <t xml:space="preserve">Holding costs, treasury and eliminations held flat</t>
  </si>
  <si>
    <t xml:space="preserve">Operating leverage, risk and below-the-line items</t>
  </si>
  <si>
    <t xml:space="preserve">Cost / income ratio</t>
  </si>
  <si>
    <t xml:space="preserve">Guidance ~60% in 2026 and &lt; 56% in 2028; Axone haircuts the 2028 target by ~30bp</t>
  </si>
  <si>
    <t xml:space="preserve">Customer loans, FY26E (EUR bn)</t>
  </si>
  <si>
    <t xml:space="preserve">Calibrated so that 39bp = H1-26 annualised cost of risk (EUR 3.74bn)</t>
  </si>
  <si>
    <t xml:space="preserve">Loan growth</t>
  </si>
  <si>
    <t xml:space="preserve">Nominal GDP plus modest share gains</t>
  </si>
  <si>
    <t xml:space="preserve">Cost of risk (bp of customer loans)</t>
  </si>
  <si>
    <t xml:space="preserve">Guidance &lt; 40bp in 2026; Q2-26 39bp; through-the-cycle 40bp thereafter</t>
  </si>
  <si>
    <t xml:space="preserve">Other net losses (litigation), EUR m</t>
  </si>
  <si>
    <t xml:space="preserve">H1-26 -344; normalised -100 p.a. (Sudan litigation not provisioned, see risks)</t>
  </si>
  <si>
    <t xml:space="preserve">Non-operating items, EUR m</t>
  </si>
  <si>
    <t xml:space="preserve">H1-26 1,435 incl. EUR 858m one-off gain; associates ~EUR 850m p.a.</t>
  </si>
  <si>
    <t xml:space="preserve">Effective tax rate</t>
  </si>
  <si>
    <t xml:space="preserve">2026 guidance slightly above 27-28% (Q3 ~30%); French surtax assumed to fade from 2028</t>
  </si>
  <si>
    <t xml:space="preserve">Minority interests, EUR m</t>
  </si>
  <si>
    <t xml:space="preserve">FY25 633, H1-26 238; +4% p.a.</t>
  </si>
  <si>
    <t xml:space="preserve">AT1 coupons, EUR m</t>
  </si>
  <si>
    <t xml:space="preserve">H1-26 ~467 (7,562 - 6.45 x 1,100m) annualised; FY25 711</t>
  </si>
  <si>
    <t xml:space="preserve">Capital and distribution</t>
  </si>
  <si>
    <t xml:space="preserve">Risk-weighted assets, FY26E (EUR bn)</t>
  </si>
  <si>
    <t xml:space="preserve">Jun-26 divisional RWA 774.5bn + Corporate Centre; Athlon -15bp and BMCI +15bp broadly offset</t>
  </si>
  <si>
    <t xml:space="preserve">RWA growth</t>
  </si>
  <si>
    <t xml:space="preserve">Balance-sheet growth plus residual Basel IV / FRTB inflation</t>
  </si>
  <si>
    <t xml:space="preserve">CET1 target ratio</t>
  </si>
  <si>
    <t xml:space="preserve">2028 plan target 13%; requirement 10.43%</t>
  </si>
  <si>
    <t xml:space="preserve">FY26E distribution (% of NI to ordinary shareholders)</t>
  </si>
  <si>
    <t xml:space="preserve">2026 results: 50% cash dividend + 10% buyback (BNP policy); minimum 60% from 2027</t>
  </si>
  <si>
    <t xml:space="preserve">Cash dividend payout (% of NI to ordinary shareholders)</t>
  </si>
  <si>
    <t xml:space="preserve">Policy floor; excess capital above the 13% CET1 target returned through buybacks</t>
  </si>
  <si>
    <t xml:space="preserve">Buyback execution price (x TBVPS)</t>
  </si>
  <si>
    <t xml:space="preserve">Buybacks executed at today's P/TBV (accretive to TBVPS while below 1.0x)</t>
  </si>
  <si>
    <t xml:space="preserve">Valuation</t>
  </si>
  <si>
    <t xml:space="preserve">Valuation date</t>
  </si>
  <si>
    <t xml:space="preserve">FY26E remaining distribution taken at t = 0; FY27E-FY31E distributions discounted at n = 1..5</t>
  </si>
  <si>
    <t xml:space="preserve">Long-term RoTE (terminal)</t>
  </si>
  <si>
    <t xml:space="preserve">2028 target &gt; 13%; consensus 2029E 13.8%; fades from our FY31E 15%</t>
  </si>
  <si>
    <t xml:space="preserve">Long-term growth g</t>
  </si>
  <si>
    <t xml:space="preserve">Nominal euro-area growth, long run</t>
  </si>
  <si>
    <t xml:space="preserve">FY26 interim dividend already paid (EUR / share)</t>
  </si>
  <si>
    <t xml:space="preserve">Paid 28-Sep-2026: excluded from the value (the share already trades ex-interim)</t>
  </si>
  <si>
    <t xml:space="preserve">Blue = hard-coded input (edit these). Green = link to another tab. Black = formula. Grey fill = key scenario levers.</t>
  </si>
  <si>
    <t xml:space="preserve">BNP Paribas - Group Income Statement (EUR m, reported)</t>
  </si>
  <si>
    <t xml:space="preserve">EUR millions</t>
  </si>
  <si>
    <t xml:space="preserve">FY24A</t>
  </si>
  <si>
    <t xml:space="preserve">FY25A</t>
  </si>
  <si>
    <t xml:space="preserve">H1-25A</t>
  </si>
  <si>
    <t xml:space="preserve">H1-26A</t>
  </si>
  <si>
    <t xml:space="preserve">Source / comment</t>
  </si>
  <si>
    <t xml:space="preserve">Revenues</t>
  </si>
  <si>
    <t xml:space="preserve">Reported revenues</t>
  </si>
  <si>
    <t xml:space="preserve">Operating expenses and D&amp;A</t>
  </si>
  <si>
    <t xml:space="preserve">Incl. restructuring (2026 guidance ~EUR 800m, 392 in H1-26)</t>
  </si>
  <si>
    <t xml:space="preserve">Gross operating income</t>
  </si>
  <si>
    <t xml:space="preserve">Cost of risk</t>
  </si>
  <si>
    <t xml:space="preserve">Q2-26: 39bp of customer loans</t>
  </si>
  <si>
    <t xml:space="preserve">Other net losses for risk on financial instruments</t>
  </si>
  <si>
    <t xml:space="preserve">Mainly litigation</t>
  </si>
  <si>
    <t xml:space="preserve">Operating income</t>
  </si>
  <si>
    <t xml:space="preserve">Non-operating items</t>
  </si>
  <si>
    <t xml:space="preserve">H1-26: 459 associates + 976 gains (incl. EUR 858m Ageas / AGI)</t>
  </si>
  <si>
    <t xml:space="preserve">Pre-tax income</t>
  </si>
  <si>
    <t xml:space="preserve">Corporate income tax</t>
  </si>
  <si>
    <t xml:space="preserve">Net income attributable to minority interests</t>
  </si>
  <si>
    <t xml:space="preserve">FY figures derived (pre-tax - tax - group share)</t>
  </si>
  <si>
    <t xml:space="preserve">Net income, group share</t>
  </si>
  <si>
    <t xml:space="preserve">Reported net income, group share (check)</t>
  </si>
  <si>
    <t xml:space="preserve">Press releases</t>
  </si>
  <si>
    <t xml:space="preserve">Difference (should be 0)</t>
  </si>
  <si>
    <t xml:space="preserve">EPS, reported (EUR)</t>
  </si>
  <si>
    <t xml:space="preserve">Net of AT1 coupons</t>
  </si>
  <si>
    <t xml:space="preserve">Key ratios</t>
  </si>
  <si>
    <t xml:space="preserve">Revenue growth (YoY)</t>
  </si>
  <si>
    <t xml:space="preserve">RoTE, reported</t>
  </si>
  <si>
    <t xml:space="preserve">Q2-26 RoTE 13.3% (quarter)</t>
  </si>
  <si>
    <t xml:space="preserve">Revenues by division (EUR m)</t>
  </si>
  <si>
    <t xml:space="preserve">Division</t>
  </si>
  <si>
    <t xml:space="preserve">Comment</t>
  </si>
  <si>
    <t xml:space="preserve">Commercial, Personal Banking &amp; Services (CPBS)</t>
  </si>
  <si>
    <t xml:space="preserve">FY on Feb-26 published basis; H1-26 on Mar-26 restated basis</t>
  </si>
  <si>
    <t xml:space="preserve">Investment &amp; Protection Services (IPS)</t>
  </si>
  <si>
    <t xml:space="preserve">Corporate &amp; Institutional Banking (CIB)</t>
  </si>
  <si>
    <t xml:space="preserve">Corporate Centre &amp; eliminations (residual)</t>
  </si>
  <si>
    <t xml:space="preserve">Pre-tax income by division (EUR m)</t>
  </si>
  <si>
    <t xml:space="preserve">Corporate Centre H1-26 includes the EUR 858m Ageas / AGI gain</t>
  </si>
  <si>
    <t xml:space="preserve">Allocated RWA (EUR bn) and return on notional equity (RONE)</t>
  </si>
  <si>
    <t xml:space="preserve">RWA Dec-25</t>
  </si>
  <si>
    <t xml:space="preserve">RWA Jun-26</t>
  </si>
  <si>
    <t xml:space="preserve">RONE FY25</t>
  </si>
  <si>
    <t xml:space="preserve">RONE Q2-26</t>
  </si>
  <si>
    <t xml:space="preserve">Total divisions</t>
  </si>
  <si>
    <t xml:space="preserve">Group RWA Dec-25: EUR 779bn (divisions + Corporate Centre)</t>
  </si>
  <si>
    <t xml:space="preserve">Analysts' consensus compiled by BNP Paribas (pre-2Q26, 10-Jul-2026)</t>
  </si>
  <si>
    <t xml:space="preserve">EUR m</t>
  </si>
  <si>
    <t xml:space="preserve">2026E</t>
  </si>
  <si>
    <t xml:space="preserve">2027E</t>
  </si>
  <si>
    <t xml:space="preserve">2028E</t>
  </si>
  <si>
    <t xml:space="preserve">2029E</t>
  </si>
  <si>
    <t xml:space="preserve">Source</t>
  </si>
  <si>
    <t xml:space="preserve">invest.bnpparibas - analysts' consensus</t>
  </si>
  <si>
    <t xml:space="preserve">EPS (EUR)</t>
  </si>
  <si>
    <t xml:space="preserve">DPS (EUR)</t>
  </si>
  <si>
    <t xml:space="preserve">RoTE</t>
  </si>
  <si>
    <t xml:space="preserve">BNP Paribas - Earnings Projections and Dividend Discount Model (EUR m, valuation at 31-Dec-2026)</t>
  </si>
  <si>
    <t xml:space="preserve">Revenues by division</t>
  </si>
  <si>
    <t xml:space="preserve">CPBS</t>
  </si>
  <si>
    <t xml:space="preserve">IPS</t>
  </si>
  <si>
    <t xml:space="preserve">CIB</t>
  </si>
  <si>
    <t xml:space="preserve">Corporate Centre</t>
  </si>
  <si>
    <t xml:space="preserve">Revenue growth</t>
  </si>
  <si>
    <t xml:space="preserve">Profit &amp; loss</t>
  </si>
  <si>
    <t xml:space="preserve">Customer loans (EUR bn)</t>
  </si>
  <si>
    <t xml:space="preserve">Cost of risk (bp)</t>
  </si>
  <si>
    <t xml:space="preserve">Other net losses (litigation)</t>
  </si>
  <si>
    <t xml:space="preserve">Minority interests</t>
  </si>
  <si>
    <t xml:space="preserve">Net income growth</t>
  </si>
  <si>
    <t xml:space="preserve">AT1 coupons</t>
  </si>
  <si>
    <t xml:space="preserve">Net income to ordinary shareholders</t>
  </si>
  <si>
    <t xml:space="preserve">Capital, distributions and per-share data</t>
  </si>
  <si>
    <t xml:space="preserve">Risk-weighted assets (EUR bn)</t>
  </si>
  <si>
    <t xml:space="preserve">Capital retained for RWA growth at target CET1</t>
  </si>
  <si>
    <t xml:space="preserve">Total distribution (dividend + buyback)</t>
  </si>
  <si>
    <t xml:space="preserve">Payout ratio (% of NI to ordinary)</t>
  </si>
  <si>
    <t xml:space="preserve">of which cash dividend</t>
  </si>
  <si>
    <t xml:space="preserve">of which share buyback</t>
  </si>
  <si>
    <t xml:space="preserve">Shares outstanding, year-end (m)</t>
  </si>
  <si>
    <t xml:space="preserve">EPS growth</t>
  </si>
  <si>
    <t xml:space="preserve">Tangible equity roll-forward (net of distribution accrual)</t>
  </si>
  <si>
    <t xml:space="preserve">Opening tangible equity</t>
  </si>
  <si>
    <t xml:space="preserve">(+) Net income to ordinary shareholders</t>
  </si>
  <si>
    <t xml:space="preserve">(-) Distribution accrued</t>
  </si>
  <si>
    <t xml:space="preserve">Closing tangible equity</t>
  </si>
  <si>
    <t xml:space="preserve">TBVPS, net of distribution accrual (EUR)</t>
  </si>
  <si>
    <t xml:space="preserve">RoTE (NI to ordinary / average tangible equity)</t>
  </si>
  <si>
    <t xml:space="preserve">Excess-capital dividend discount model</t>
  </si>
  <si>
    <t xml:space="preserve">Discount period (years from 31-Dec-26)</t>
  </si>
  <si>
    <t xml:space="preserve">Cost of equity</t>
  </si>
  <si>
    <t xml:space="preserve">Discount factor</t>
  </si>
  <si>
    <t xml:space="preserve">Distribution to shareholders</t>
  </si>
  <si>
    <t xml:space="preserve">Present value</t>
  </si>
  <si>
    <t xml:space="preserve">Remaining FY26E distribution (t = 0)</t>
  </si>
  <si>
    <t xml:space="preserve">PV of FY27E-FY31E distributions</t>
  </si>
  <si>
    <t xml:space="preserve">Tangible equity, end-FY31E</t>
  </si>
  <si>
    <t xml:space="preserve">Long-term RoTE</t>
  </si>
  <si>
    <t xml:space="preserve">Justified terminal P/TBV = (RoTE - g) / (Ke - g)</t>
  </si>
  <si>
    <t xml:space="preserve">Terminal value, end-FY31E</t>
  </si>
  <si>
    <t xml:space="preserve">PV of terminal value</t>
  </si>
  <si>
    <t xml:space="preserve">Equity value</t>
  </si>
  <si>
    <t xml:space="preserve">Shares outstanding (m)</t>
  </si>
  <si>
    <t xml:space="preserve">Value per share - excess-capital DDM (EUR)</t>
  </si>
  <si>
    <t xml:space="preserve">Terminal value as % of equity value</t>
  </si>
  <si>
    <t xml:space="preserve">Gordon growth - justified P/TBV (single stage)</t>
  </si>
  <si>
    <t xml:space="preserve">Tangible equity, end-FY26E (net of distribution)</t>
  </si>
  <si>
    <t xml:space="preserve">Justified P/TBV = (RoTE - g) / (Ke - g)</t>
  </si>
  <si>
    <t xml:space="preserve">Value of tangible equity</t>
  </si>
  <si>
    <t xml:space="preserve">(+) Remaining FY26E distribution</t>
  </si>
  <si>
    <t xml:space="preserve">Value per share - Gordon P/TBV (EUR)</t>
  </si>
  <si>
    <t xml:space="preserve">Banks are valued on equity, not enterprise value: deposits and debt are raw material, so FCFF / WACC / EV do not apply. The DDM distributes every euro of profit not needed to hold CET1 at 13% of RWA.</t>
  </si>
  <si>
    <t xml:space="preserve">BNP Paribas - Cost of Equity</t>
  </si>
  <si>
    <t xml:space="preserve">Label</t>
  </si>
  <si>
    <t xml:space="preserve">Value</t>
  </si>
  <si>
    <t xml:space="preserve">CAPM</t>
  </si>
  <si>
    <t xml:space="preserve">Risk-free rate (French OAT 10Y)</t>
  </si>
  <si>
    <t xml:space="preserve">OAT, not Bund: a French bank is priced off its sovereign (EUR 20bn French government bonds, domestic funding)</t>
  </si>
  <si>
    <t xml:space="preserve">Equity risk premium</t>
  </si>
  <si>
    <t xml:space="preserve">Same ERP as the Pernod Ricard and LVMH models</t>
  </si>
  <si>
    <t xml:space="preserve">Raw beta (1Y vs CAC 40)</t>
  </si>
  <si>
    <t xml:space="preserve">ABC Bourse</t>
  </si>
  <si>
    <t xml:space="preserve">Beta (Blume-adjusted)</t>
  </si>
  <si>
    <t xml:space="preserve">0.67 x raw + 0.33</t>
  </si>
  <si>
    <t xml:space="preserve">Cost of equity (Ke)</t>
  </si>
  <si>
    <t xml:space="preserve">Applied in the DDM and the justified P/TBV</t>
  </si>
  <si>
    <t xml:space="preserve">Cross-checks</t>
  </si>
  <si>
    <t xml:space="preserve">German Bund 10Y</t>
  </si>
  <si>
    <t xml:space="preserve">OAT - Bund spread</t>
  </si>
  <si>
    <t xml:space="preserve">OAT above 5% on 21-22 Oct 2026, a first since 2002</t>
  </si>
  <si>
    <t xml:space="preserve">Ke on a Bund basis (memo)</t>
  </si>
  <si>
    <t xml:space="preserve">What a German-domiciled bank with the same beta would cost</t>
  </si>
  <si>
    <t xml:space="preserve">Market-implied Ke at long-term RoTE</t>
  </si>
  <si>
    <t xml:space="preserve">Ke solving P = TBV x (RoTE - g) / (Ke - g), price ex remaining FY26 distribution</t>
  </si>
  <si>
    <t xml:space="preserve">Market-implied Ke at FY26E RoTE</t>
  </si>
  <si>
    <t xml:space="preserve">Even with no RoTE improvement, the market asks for this return</t>
  </si>
  <si>
    <t xml:space="preserve">Gap: market-implied less CAPM Ke</t>
  </si>
  <si>
    <t xml:space="preserve">Risk premium the market adds on top of an OAT-based CAPM</t>
  </si>
  <si>
    <t xml:space="preserve">Capital and liquidity (30-Jun-26)</t>
  </si>
  <si>
    <t xml:space="preserve">CET1 ratio</t>
  </si>
  <si>
    <t xml:space="preserve">CET1 requirement (SREP)</t>
  </si>
  <si>
    <t xml:space="preserve">Buffer to requirement (bp)</t>
  </si>
  <si>
    <t xml:space="preserve">EUR ~20bn of buffer on EUR 780bn RWA</t>
  </si>
  <si>
    <t xml:space="preserve">Leverage ratio</t>
  </si>
  <si>
    <t xml:space="preserve">Liquidity coverage ratio</t>
  </si>
  <si>
    <t xml:space="preserve">P/TBV at current price (Jun-26 TBVPS)</t>
  </si>
  <si>
    <t xml:space="preserve">BNP Paribas - Equity Value Bridge (31-Dec-2026E)</t>
  </si>
  <si>
    <t xml:space="preserve">Gordon P/TBV</t>
  </si>
  <si>
    <t xml:space="preserve">PV of terminal value / value of tangible equity</t>
  </si>
  <si>
    <t xml:space="preserve">Implied value per share (EUR)</t>
  </si>
  <si>
    <t xml:space="preserve">Current share price (EUR)</t>
  </si>
  <si>
    <t xml:space="preserve">Implied upside / (downside)</t>
  </si>
  <si>
    <t xml:space="preserve">Implied P/TBV (Jun-26 TBVPS)</t>
  </si>
  <si>
    <t xml:space="preserve">Implied P/E FY27E</t>
  </si>
  <si>
    <t xml:space="preserve">Check vs DDM tab (should be 0)</t>
  </si>
  <si>
    <t xml:space="preserve">No net debt bridge for a bank: the valuation is directly on equity (distributions to shareholders).</t>
  </si>
  <si>
    <t xml:space="preserve">BNP Paribas - Sensitivity Analysis (EUR per share)</t>
  </si>
  <si>
    <t xml:space="preserve">Excess-capital DDM - value per share (EUR)</t>
  </si>
  <si>
    <t xml:space="preserve">Long-term growth g -&gt;</t>
  </si>
  <si>
    <t xml:space="preserve">Ke \ g</t>
  </si>
  <si>
    <t xml:space="preserve">Gordon justified P/TBV - value per share (EUR)</t>
  </si>
  <si>
    <t xml:space="preserve">Long-term RoTE -&gt;</t>
  </si>
  <si>
    <t xml:space="preserve">Ke \ RoTE</t>
  </si>
  <si>
    <t xml:space="preserve">Cost of equity implied by today's share price</t>
  </si>
  <si>
    <t xml:space="preserve">RoTE \ g</t>
  </si>
  <si>
    <t xml:space="preserve">Scenario analysis (DDM leg, g at base)</t>
  </si>
  <si>
    <t xml:space="preserve">Scenario</t>
  </si>
  <si>
    <t xml:space="preserve">Ke</t>
  </si>
  <si>
    <t xml:space="preserve">Average (DDM leg)</t>
  </si>
  <si>
    <t xml:space="preserve">vs price</t>
  </si>
  <si>
    <t xml:space="preserve">Bear - French risk premium persists, RoTE stalls</t>
  </si>
  <si>
    <t xml:space="preserve">Base</t>
  </si>
  <si>
    <t xml:space="preserve">Bull - spread normalises, 2028 plan delivered</t>
  </si>
  <si>
    <t xml:space="preserve">Checks: base cells equal the DDM tab (should be 0)</t>
  </si>
  <si>
    <t xml:space="preserve">BNP Paribas - Trading Comparables: P/TBV vs RoTE (European large banks)</t>
  </si>
  <si>
    <t xml:space="preserve">Bank</t>
  </si>
  <si>
    <t xml:space="preserve">Share price (EUR)</t>
  </si>
  <si>
    <t xml:space="preserve">Price date</t>
  </si>
  <si>
    <t xml:space="preserve">TBVPS (EUR)</t>
  </si>
  <si>
    <t xml:space="preserve">TBVPS date</t>
  </si>
  <si>
    <t xml:space="preserve">P/TBV</t>
  </si>
  <si>
    <t xml:space="preserve">RoTE basis</t>
  </si>
  <si>
    <t xml:space="preserve">Societe Generale</t>
  </si>
  <si>
    <t xml:space="preserve">GLE FP</t>
  </si>
  <si>
    <t xml:space="preserve">19-Oct-26</t>
  </si>
  <si>
    <t xml:space="preserve">Jun-26</t>
  </si>
  <si>
    <t xml:space="preserve">2026 target (H1-26 12.0%)</t>
  </si>
  <si>
    <t xml:space="preserve">SG 2Q26 release; CET1 13.2%</t>
  </si>
  <si>
    <t xml:space="preserve">Deutsche Bank</t>
  </si>
  <si>
    <t xml:space="preserve">DBK GY</t>
  </si>
  <si>
    <t xml:space="preserve">07-Oct-26</t>
  </si>
  <si>
    <t xml:space="preserve">H1-26</t>
  </si>
  <si>
    <t xml:space="preserve">DB 2Q26 release</t>
  </si>
  <si>
    <t xml:space="preserve">Commerzbank</t>
  </si>
  <si>
    <t xml:space="preserve">CBK GY</t>
  </si>
  <si>
    <t xml:space="preserve">15-Oct-26</t>
  </si>
  <si>
    <t xml:space="preserve">TTM</t>
  </si>
  <si>
    <t xml:space="preserve">Q1-26</t>
  </si>
  <si>
    <t xml:space="preserve">Commerzbank Q1-26 release; TBVPS roic.ai</t>
  </si>
  <si>
    <t xml:space="preserve">Santander</t>
  </si>
  <si>
    <t xml:space="preserve">SAN SM</t>
  </si>
  <si>
    <t xml:space="preserve">14-Oct-26</t>
  </si>
  <si>
    <t xml:space="preserve">Mar-26</t>
  </si>
  <si>
    <t xml:space="preserve">Santander H1-26 release (bolsamania price); CET1 14.0%</t>
  </si>
  <si>
    <t xml:space="preserve">BBVA</t>
  </si>
  <si>
    <t xml:space="preserve">BBVA SM</t>
  </si>
  <si>
    <t xml:space="preserve">27-Oct-26</t>
  </si>
  <si>
    <t xml:space="preserve">BBVA H1-26 release; CET1 12.9%</t>
  </si>
  <si>
    <t xml:space="preserve">UniCredit</t>
  </si>
  <si>
    <t xml:space="preserve">UCG IM</t>
  </si>
  <si>
    <t xml:space="preserve">23-Oct-26</t>
  </si>
  <si>
    <t xml:space="preserve">UniCredit H1-26 release; TBVPS stockanalysis; CET1 14.3%</t>
  </si>
  <si>
    <t xml:space="preserve">Intesa Sanpaolo</t>
  </si>
  <si>
    <t xml:space="preserve">ISP IM</t>
  </si>
  <si>
    <t xml:space="preserve">02-Oct-26</t>
  </si>
  <si>
    <t xml:space="preserve">Intesa H1-26 release; TBVPS roic.ai; CET1 13.1%</t>
  </si>
  <si>
    <t xml:space="preserve">BNP Paribas</t>
  </si>
  <si>
    <t xml:space="preserve">Axone FY26E</t>
  </si>
  <si>
    <t xml:space="preserve">Not in the regression</t>
  </si>
  <si>
    <t xml:space="preserve">Peer statistics</t>
  </si>
  <si>
    <t xml:space="preserve">Median P/TBV</t>
  </si>
  <si>
    <t xml:space="preserve">Mean P/TBV</t>
  </si>
  <si>
    <t xml:space="preserve">Median RoTE</t>
  </si>
  <si>
    <t xml:space="preserve">Regression P/TBV = a + b x RoTE (7 peers)</t>
  </si>
  <si>
    <t xml:space="preserve">Slope b (x per 1.0 of RoTE)</t>
  </si>
  <si>
    <t xml:space="preserve">Intercept a</t>
  </si>
  <si>
    <t xml:space="preserve">R-squared</t>
  </si>
  <si>
    <t xml:space="preserve">BNP fitted P/TBV at its FY26E RoTE</t>
  </si>
  <si>
    <t xml:space="preserve">BNP actual P/TBV vs fitted line</t>
  </si>
  <si>
    <t xml:space="preserve">French discount (SocGen residual scaled by France revenue exposure)</t>
  </si>
  <si>
    <t xml:space="preserve">Societe Generale fitted P/TBV</t>
  </si>
  <si>
    <t xml:space="preserve">Societe Generale residual vs line</t>
  </si>
  <si>
    <t xml:space="preserve">France share of revenues - Societe Generale</t>
  </si>
  <si>
    <t xml:space="preserve">France share of revenues - BNP Paribas</t>
  </si>
  <si>
    <t xml:space="preserve">French discount applied to BNP</t>
  </si>
  <si>
    <t xml:space="preserve">Adjusted P/TBV for BNP</t>
  </si>
  <si>
    <t xml:space="preserve">BNP TBVPS (Jun-26, same basis as peers)</t>
  </si>
  <si>
    <t xml:space="preserve">Low - full SocGen discount (EUR)</t>
  </si>
  <si>
    <t xml:space="preserve">High - no French discount (EUR)</t>
  </si>
  <si>
    <t xml:space="preserve">Price-to-tangible-book is explained by profitability (RoTE). BNP trades in line with SocGen, well below the line, because the market applies a French sovereign / political discount. We apply SocGen's residual scaled by BNP's lower France exposure.</t>
  </si>
  <si>
    <t xml:space="preserve">Crédit Agricole SA and ING excluded: no verifiable October-2026 price / TBVPS pair at the pricing date.</t>
  </si>
  <si>
    <t xml:space="preserve">BNP Paribas - Precedent Transactions (European and US bank M&amp;A, 2024-2026)</t>
  </si>
  <si>
    <t xml:space="preserve">Announced</t>
  </si>
  <si>
    <t xml:space="preserve">Acquirer</t>
  </si>
  <si>
    <t xml:space="preserve">Target</t>
  </si>
  <si>
    <t xml:space="preserve">Deal value (m)</t>
  </si>
  <si>
    <t xml:space="preserve">Ccy</t>
  </si>
  <si>
    <t xml:space="preserve">P/TBV paid</t>
  </si>
  <si>
    <t xml:space="preserve">Target RoTE</t>
  </si>
  <si>
    <t xml:space="preserve">P/TBV per RoTE point</t>
  </si>
  <si>
    <t xml:space="preserve">Basis of the multiple</t>
  </si>
  <si>
    <t xml:space="preserve">Feb-26</t>
  </si>
  <si>
    <t xml:space="preserve">Webster Financial</t>
  </si>
  <si>
    <t xml:space="preserve">USD</t>
  </si>
  <si>
    <t xml:space="preserve">Q4-25 TBV; ROTCE FY25</t>
  </si>
  <si>
    <t xml:space="preserve">Santander PR; Webster 425 filing</t>
  </si>
  <si>
    <t xml:space="preserve">Commerzbank (offer)</t>
  </si>
  <si>
    <t xml:space="preserve">EUR 30.8 per share offer; 2026 RoTE target</t>
  </si>
  <si>
    <t xml:space="preserve">UniCredit offer announcement</t>
  </si>
  <si>
    <t xml:space="preserve">Jul-25</t>
  </si>
  <si>
    <t xml:space="preserve">TSB</t>
  </si>
  <si>
    <t xml:space="preserve">GBP</t>
  </si>
  <si>
    <t xml:space="preserve">TNAV; RoTE FY24</t>
  </si>
  <si>
    <t xml:space="preserve">Santander PR</t>
  </si>
  <si>
    <t xml:space="preserve">Jun-25</t>
  </si>
  <si>
    <t xml:space="preserve">BPCE</t>
  </si>
  <si>
    <t xml:space="preserve">Novo Banco</t>
  </si>
  <si>
    <t xml:space="preserve">Breakingviews estimate; RoTE &gt; 20%</t>
  </si>
  <si>
    <t xml:space="preserve">Reuters Breakingviews</t>
  </si>
  <si>
    <t xml:space="preserve">May-25</t>
  </si>
  <si>
    <t xml:space="preserve">Erste Group</t>
  </si>
  <si>
    <t xml:space="preserve">Santander Bank Polska (49%)</t>
  </si>
  <si>
    <t xml:space="preserve">Value for 100%; RoE 2024 as proxy</t>
  </si>
  <si>
    <t xml:space="preserve">Erste / Santander PR</t>
  </si>
  <si>
    <t xml:space="preserve">Jan-25</t>
  </si>
  <si>
    <t xml:space="preserve">Monte dei Paschi</t>
  </si>
  <si>
    <t xml:space="preserve">Mediobanca</t>
  </si>
  <si>
    <t xml:space="preserve">EUR 15.99 vs TBVPS 12.34</t>
  </si>
  <si>
    <t xml:space="preserve">MPS offer document</t>
  </si>
  <si>
    <t xml:space="preserve">Nov-24</t>
  </si>
  <si>
    <t xml:space="preserve">Banco BPM (withdrawn)</t>
  </si>
  <si>
    <t xml:space="preserve">EUR 6.657 vs TEPS 8.38; adj. RoTE</t>
  </si>
  <si>
    <t xml:space="preserve">UniCredit offer document</t>
  </si>
  <si>
    <t xml:space="preserve">Statistics - P/TBV per point of target RoTE</t>
  </si>
  <si>
    <t xml:space="preserve">Median</t>
  </si>
  <si>
    <t xml:space="preserve">Mean</t>
  </si>
  <si>
    <t xml:space="preserve">First quartile</t>
  </si>
  <si>
    <t xml:space="preserve">Third quartile</t>
  </si>
  <si>
    <t xml:space="preserve">Minimum</t>
  </si>
  <si>
    <t xml:space="preserve">Maximum</t>
  </si>
  <si>
    <t xml:space="preserve">Median P/TBV paid (memo, not RoTE-adjusted)</t>
  </si>
  <si>
    <t xml:space="preserve">Implied value for BNP (control basis)</t>
  </si>
  <si>
    <t xml:space="preserve">BNP RoTE FY26E</t>
  </si>
  <si>
    <t xml:space="preserve">Implied P/TBV (median x RoTE points)</t>
  </si>
  <si>
    <t xml:space="preserve">BNP TBVPS (Jun-26)</t>
  </si>
  <si>
    <t xml:space="preserve">Low - first quartile (EUR)</t>
  </si>
  <si>
    <t xml:space="preserve">High - third quartile (EUR)</t>
  </si>
  <si>
    <t xml:space="preserve">Raw P/TBV multiples are not comparable across targets: a bank earning 20% on tangible equity is worth twice one earning 10%. Each multiple is therefore normalised by the target's RoTE before being applied to BNP. BBVA / Sabadell excluded (failed offer, TBV basis uncertain).</t>
  </si>
  <si>
    <t xml:space="preserve">BNP Paribas - Valuation Summary (EUR per share)</t>
  </si>
  <si>
    <t xml:space="preserve">Methodology</t>
  </si>
  <si>
    <t xml:space="preserve">Low</t>
  </si>
  <si>
    <t xml:space="preserve">High</t>
  </si>
  <si>
    <t xml:space="preserve">Basis</t>
  </si>
  <si>
    <t xml:space="preserve">Ke +/- 0.5%, g at base</t>
  </si>
  <si>
    <t xml:space="preserve">Ke +/- 0.5%, long-term RoTE at base</t>
  </si>
  <si>
    <t xml:space="preserve">Trading comps - P/TBV vs RoTE</t>
  </si>
  <si>
    <t xml:space="preserve">Full SocGen discount to no French discount</t>
  </si>
  <si>
    <t xml:space="preserve">Precedent transactions</t>
  </si>
  <si>
    <t xml:space="preserve">P/TBV per RoTE point, Q1-Q3</t>
  </si>
  <si>
    <t xml:space="preserve">2026 trading range</t>
  </si>
  <si>
    <t xml:space="preserve">Euronext, year to date</t>
  </si>
  <si>
    <t xml:space="preserve">Analyst price targets</t>
  </si>
  <si>
    <t xml:space="preserve">Investing.com consensus</t>
  </si>
  <si>
    <t xml:space="preserve">Current share price</t>
  </si>
  <si>
    <t xml:space="preserve">Blended target price</t>
  </si>
  <si>
    <t xml:space="preserve">Chart Data - staging area (green = links, black = formulas)</t>
  </si>
  <si>
    <t xml:space="preserve">FOOTBALL FIELD</t>
  </si>
  <si>
    <t xml:space="preserve">Method</t>
  </si>
  <si>
    <t xml:space="preserve">Low_base</t>
  </si>
  <si>
    <t xml:space="preserve">Range</t>
  </si>
  <si>
    <t xml:space="preserve">DDM EQUITY VALUE BUILD (EUR m)</t>
  </si>
  <si>
    <t xml:space="preserve">Step</t>
  </si>
  <si>
    <t xml:space="preserve">Delta</t>
  </si>
  <si>
    <t xml:space="preserve">Remaining FY26E distribution</t>
  </si>
  <si>
    <t xml:space="preserve">PV FY27E-31E distributions</t>
  </si>
  <si>
    <t xml:space="preserve">PV terminal value</t>
  </si>
  <si>
    <t xml:space="preserve">COST OF EQUITY BUILD-UP</t>
  </si>
  <si>
    <t xml:space="preserve">OAT 10Y</t>
  </si>
  <si>
    <t xml:space="preserve">+ Beta x ERP</t>
  </si>
  <si>
    <t xml:space="preserve">CAPM cost of equity</t>
  </si>
  <si>
    <t xml:space="preserve">Implied by share price</t>
  </si>
  <si>
    <t xml:space="preserve">VALUATION BY METHOD (EUR / share)</t>
  </si>
  <si>
    <t xml:space="preserve">Price</t>
  </si>
  <si>
    <t xml:space="preserve">Trading comps</t>
  </si>
  <si>
    <t xml:space="preserve">Precedents</t>
  </si>
  <si>
    <t xml:space="preserve">Blended target</t>
  </si>
  <si>
    <t xml:space="preserve">Consensus target</t>
  </si>
  <si>
    <t xml:space="preserve">Current price</t>
  </si>
  <si>
    <t xml:space="preserve">REVENUES BY DIVISION (EUR m)</t>
  </si>
  <si>
    <t xml:space="preserve">Division \ Year</t>
  </si>
  <si>
    <t xml:space="preserve">Group</t>
  </si>
  <si>
    <t xml:space="preserve">NET INCOME AND RoTE</t>
  </si>
  <si>
    <t xml:space="preserve">Year</t>
  </si>
  <si>
    <t xml:space="preserve">Net income</t>
  </si>
  <si>
    <t xml:space="preserve">P/TBV VS RoTE</t>
  </si>
  <si>
    <t xml:space="preserve">PRECEDENTS</t>
  </si>
  <si>
    <t xml:space="preserve">Deal</t>
  </si>
  <si>
    <t xml:space="preserve">P/TBV per RoTE pt</t>
  </si>
  <si>
    <t xml:space="preserve">DISTRIBUTIONS AND PAYOUT</t>
  </si>
  <si>
    <t xml:space="preserve">Distribution</t>
  </si>
  <si>
    <t xml:space="preserve">Payout</t>
  </si>
  <si>
    <t xml:space="preserve">EPS: AXONE VS CONSENSUS</t>
  </si>
  <si>
    <t xml:space="preserve">Axone</t>
  </si>
  <si>
    <t xml:space="preserve">Consensus</t>
  </si>
  <si>
    <t xml:space="preserve">TBVPS AND DPS</t>
  </si>
  <si>
    <t xml:space="preserve">TBVPS</t>
  </si>
  <si>
    <t xml:space="preserve">DPS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</si>
</sst>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yyyy\-mm\-dd"/>
    <numFmt numFmtId="166" formatCode="#,##0.00;\(#,##0.00\);\-"/>
    <numFmt numFmtId="167" formatCode="0.0%;\(0.0%\);\-"/>
    <numFmt numFmtId="168" formatCode="#,##0;\(#,##0\);\-"/>
    <numFmt numFmtId="169" formatCode="0.00\x;\(0.00&quot;x)&quot;;\-"/>
    <numFmt numFmtId="170" formatCode="0.0\x;\(0.0&quot;x)&quot;;\-"/>
    <numFmt numFmtId="171" formatCode="0.00%"/>
    <numFmt numFmtId="172" formatCode="#,##0.0;\(#,##0.0\);\-"/>
    <numFmt numFmtId="173" formatCode="0.00"/>
    <numFmt numFmtId="174" formatCode="0%"/>
    <numFmt numFmtId="175" formatCode="0&quot; bp&quot;"/>
    <numFmt numFmtId="176" formatCode="0"/>
    <numFmt numFmtId="177" formatCode="0.0000"/>
    <numFmt numFmtId="178" formatCode="0.000\x"/>
    <numFmt numFmtId="179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7F9FC"/>
      </patternFill>
    </fill>
    <fill>
      <patternFill patternType="solid">
        <fgColor rgb="FF305496"/>
        <bgColor rgb="FF1F3864"/>
      </patternFill>
    </fill>
    <fill>
      <patternFill patternType="solid">
        <fgColor rgb="FFF7F9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1F3864"/>
      </top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7F7F7F"/>
      <rgbColor rgb="FF9999FF"/>
      <rgbColor rgb="FF993366"/>
      <rgbColor rgb="FFF7F9F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4F81BD"/>
      <rgbColor rgb="FF878787"/>
      <rgbColor rgb="FF1F3864"/>
      <rgbColor rgb="FF00A651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summary (EUR/share)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Chart_Data!D4</c:f>
              <c:strCache>
                <c:ptCount val="1"/>
                <c:pt idx="0">
                  <c:v>Low_base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Chart_Data!$A$5:$A$10</c:f>
              <c:strCache>
                <c:ptCount val="6"/>
                <c:pt idx="0">
                  <c:v>Excess-capital DDM</c:v>
                </c:pt>
                <c:pt idx="1">
                  <c:v>Gordon justified P/TBV</c:v>
                </c:pt>
                <c:pt idx="2">
                  <c:v>Trading comps - P/TBV vs RoTE</c:v>
                </c:pt>
                <c:pt idx="3">
                  <c:v>Precedent transactions</c:v>
                </c:pt>
                <c:pt idx="4">
                  <c:v>2026 trading range</c:v>
                </c:pt>
                <c:pt idx="5">
                  <c:v>Analyst price targets</c:v>
                </c:pt>
              </c:strCache>
            </c:strRef>
          </c:cat>
          <c:val>
            <c:numRef>
              <c:f>Chart_Data!$D$5:$D$10</c:f>
              <c:numCache>
                <c:formatCode>#,##0.00;\(#,##0.00\);\-</c:formatCode>
                <c:ptCount val="6"/>
                <c:pt idx="0">
                  <c:v>114.731263344526</c:v>
                </c:pt>
                <c:pt idx="1">
                  <c:v>111.775184988256</c:v>
                </c:pt>
                <c:pt idx="2">
                  <c:v>91.1317562119889</c:v>
                </c:pt>
                <c:pt idx="3">
                  <c:v>107.207021569716</c:v>
                </c:pt>
                <c:pt idx="4">
                  <c:v>78.83</c:v>
                </c:pt>
                <c:pt idx="5">
                  <c:v>100</c:v>
                </c:pt>
              </c:numCache>
            </c:numRef>
          </c:val>
        </c:ser>
        <c:ser>
          <c:idx val="1"/>
          <c:order val="1"/>
          <c:tx>
            <c:strRef>
              <c:f>Chart_Data!E4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Chart_Data!$A$5:$A$10</c:f>
              <c:strCache>
                <c:ptCount val="6"/>
                <c:pt idx="0">
                  <c:v>Excess-capital DDM</c:v>
                </c:pt>
                <c:pt idx="1">
                  <c:v>Gordon justified P/TBV</c:v>
                </c:pt>
                <c:pt idx="2">
                  <c:v>Trading comps - P/TBV vs RoTE</c:v>
                </c:pt>
                <c:pt idx="3">
                  <c:v>Precedent transactions</c:v>
                </c:pt>
                <c:pt idx="4">
                  <c:v>2026 trading range</c:v>
                </c:pt>
                <c:pt idx="5">
                  <c:v>Analyst price targets</c:v>
                </c:pt>
              </c:strCache>
            </c:strRef>
          </c:cat>
          <c:val>
            <c:numRef>
              <c:f>Chart_Data!$E$5:$E$10</c:f>
              <c:numCache>
                <c:formatCode>#,##0.00;\(#,##0.00\);\-</c:formatCode>
                <c:ptCount val="6"/>
                <c:pt idx="0">
                  <c:v>12.1981180292626</c:v>
                </c:pt>
                <c:pt idx="1">
                  <c:v>11.6177258179373</c:v>
                </c:pt>
                <c:pt idx="2">
                  <c:v>26.5047206815478</c:v>
                </c:pt>
                <c:pt idx="3">
                  <c:v>49.3043845764621</c:v>
                </c:pt>
                <c:pt idx="4">
                  <c:v>34.99</c:v>
                </c:pt>
                <c:pt idx="5">
                  <c:v>36</c:v>
                </c:pt>
              </c:numCache>
            </c:numRef>
          </c:val>
        </c:ser>
        <c:gapWidth val="150"/>
        <c:overlap val="100"/>
        <c:axId val="79004884"/>
        <c:axId val="26533510"/>
      </c:barChart>
      <c:catAx>
        <c:axId val="79004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33510"/>
        <c:crosses val="autoZero"/>
        <c:auto val="1"/>
        <c:lblAlgn val="ctr"/>
        <c:lblOffset val="100"/>
        <c:noMultiLvlLbl val="0"/>
      </c:catAx>
      <c:valAx>
        <c:axId val="26533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04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P/TBV - European large banks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Chart_Data!B56</c:f>
              <c:strCache>
                <c:ptCount val="1"/>
                <c:pt idx="0">
                  <c:v>P/TBV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Chart_Data!$A$57:$A$64</c:f>
              <c:strCache>
                <c:ptCount val="8"/>
                <c:pt idx="0">
                  <c:v>Societe Generale</c:v>
                </c:pt>
                <c:pt idx="1">
                  <c:v>Deutsche Bank</c:v>
                </c:pt>
                <c:pt idx="2">
                  <c:v>Commerzbank</c:v>
                </c:pt>
                <c:pt idx="3">
                  <c:v>Santander</c:v>
                </c:pt>
                <c:pt idx="4">
                  <c:v>BBVA</c:v>
                </c:pt>
                <c:pt idx="5">
                  <c:v>UniCredit</c:v>
                </c:pt>
                <c:pt idx="6">
                  <c:v>Intesa Sanpaolo</c:v>
                </c:pt>
                <c:pt idx="7">
                  <c:v>BNP Paribas</c:v>
                </c:pt>
              </c:strCache>
            </c:strRef>
          </c:cat>
          <c:val>
            <c:numRef>
              <c:f>Chart_Data!$B$57:$B$64</c:f>
              <c:numCache>
                <c:formatCode>0.00\x;\(0.00"x)";\-</c:formatCode>
                <c:ptCount val="8"/>
                <c:pt idx="0">
                  <c:v>0.842953020134228</c:v>
                </c:pt>
                <c:pt idx="1">
                  <c:v>0.957051282051282</c:v>
                </c:pt>
                <c:pt idx="2">
                  <c:v>1.2218992248062</c:v>
                </c:pt>
                <c:pt idx="3">
                  <c:v>1.98662316476346</c:v>
                </c:pt>
                <c:pt idx="4">
                  <c:v>2.2396449704142</c:v>
                </c:pt>
                <c:pt idx="5">
                  <c:v>1.61244343891403</c:v>
                </c:pt>
                <c:pt idx="6">
                  <c:v>1.9792899408284</c:v>
                </c:pt>
                <c:pt idx="7">
                  <c:v>0.848780487804878</c:v>
                </c:pt>
              </c:numCache>
            </c:numRef>
          </c:val>
        </c:ser>
        <c:gapWidth val="150"/>
        <c:overlap val="0"/>
        <c:axId val="83359487"/>
        <c:axId val="67236333"/>
      </c:barChart>
      <c:catAx>
        <c:axId val="833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36333"/>
        <c:crosses val="autoZero"/>
        <c:auto val="1"/>
        <c:lblAlgn val="ctr"/>
        <c:lblOffset val="100"/>
        <c:noMultiLvlLbl val="0"/>
      </c:catAx>
      <c:valAx>
        <c:axId val="67236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;\(0.0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594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P/TBV vs RoTE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"Peers"</c:f>
              <c:strCache>
                <c:ptCount val="1"/>
                <c:pt idx="0">
                  <c:v>Peers</c:v>
                </c:pt>
              </c:strCache>
            </c:strRef>
          </c:tx>
          <c:spPr>
            <a:solidFill>
              <a:srgbClr val="a6a6a6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a6a6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Chart_Data!$C$57:$C$63</c:f>
              <c:numCache>
                <c:formatCode>0.0%;\(0.0%\);\-</c:formatCode>
                <c:ptCount val="7"/>
                <c:pt idx="0">
                  <c:v>0.11</c:v>
                </c:pt>
                <c:pt idx="1">
                  <c:v>0.119</c:v>
                </c:pt>
                <c:pt idx="2">
                  <c:v>0.127</c:v>
                </c:pt>
                <c:pt idx="3">
                  <c:v>0.156</c:v>
                </c:pt>
                <c:pt idx="4">
                  <c:v>0.222</c:v>
                </c:pt>
                <c:pt idx="5">
                  <c:v>0.237</c:v>
                </c:pt>
                <c:pt idx="6">
                  <c:v>0.25</c:v>
                </c:pt>
              </c:numCache>
            </c:numRef>
          </c:xVal>
          <c:yVal>
            <c:numRef>
              <c:f>Chart_Data!$B$57:$B$63</c:f>
              <c:numCache>
                <c:formatCode>0.00\x;\(0.00"x)";\-</c:formatCode>
                <c:ptCount val="7"/>
                <c:pt idx="0">
                  <c:v>0.842953020134228</c:v>
                </c:pt>
                <c:pt idx="1">
                  <c:v>0.957051282051282</c:v>
                </c:pt>
                <c:pt idx="2">
                  <c:v>1.2218992248062</c:v>
                </c:pt>
                <c:pt idx="3">
                  <c:v>1.98662316476346</c:v>
                </c:pt>
                <c:pt idx="4">
                  <c:v>2.2396449704142</c:v>
                </c:pt>
                <c:pt idx="5">
                  <c:v>1.61244343891403</c:v>
                </c:pt>
                <c:pt idx="6">
                  <c:v>1.9792899408284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"BNP Paribas"</c:f>
              <c:strCache>
                <c:ptCount val="1"/>
                <c:pt idx="0">
                  <c:v>BNP Paribas</c:v>
                </c:pt>
              </c:strCache>
            </c:strRef>
          </c:tx>
          <c:spPr>
            <a:solidFill>
              <a:srgbClr val="1f3864"/>
            </a:solidFill>
            <a:ln w="47520">
              <a:noFill/>
            </a:ln>
          </c:spPr>
          <c:marker>
            <c:symbol val="diamond"/>
            <c:size val="10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Chart_Data!$C$64</c:f>
              <c:numCache>
                <c:formatCode>0.0%;\(0.0%\);\-</c:formatCode>
                <c:ptCount val="1"/>
                <c:pt idx="0">
                  <c:v>0.125024848558579</c:v>
                </c:pt>
              </c:numCache>
            </c:numRef>
          </c:xVal>
          <c:yVal>
            <c:numRef>
              <c:f>Chart_Data!$B$64</c:f>
              <c:numCache>
                <c:formatCode>0.00\x;\(0.00"x)";\-</c:formatCode>
                <c:ptCount val="1"/>
                <c:pt idx="0">
                  <c:v>0.848780487804878</c:v>
                </c:pt>
              </c:numCache>
            </c:numRef>
          </c:yVal>
          <c:smooth val="1"/>
        </c:ser>
        <c:axId val="498731"/>
        <c:axId val="93546268"/>
      </c:scatterChart>
      <c:valAx>
        <c:axId val="4987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46268"/>
        <c:crosses val="autoZero"/>
        <c:crossBetween val="midCat"/>
      </c:valAx>
      <c:valAx>
        <c:axId val="93546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P/TBV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;\(0.0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7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Bank M&amp;A precedents (P/TBV paid)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Chart_Data!B67</c:f>
              <c:strCache>
                <c:ptCount val="1"/>
                <c:pt idx="0">
                  <c:v>P/TBV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Chart_Data!$A$68:$A$74</c:f>
              <c:strCache>
                <c:ptCount val="7"/>
                <c:pt idx="0">
                  <c:v>Santander / Webster Financial</c:v>
                </c:pt>
                <c:pt idx="1">
                  <c:v>UniCredit / Commerzbank (offer)</c:v>
                </c:pt>
                <c:pt idx="2">
                  <c:v>Santander / TSB</c:v>
                </c:pt>
                <c:pt idx="3">
                  <c:v>BPCE / Novo Banco</c:v>
                </c:pt>
                <c:pt idx="4">
                  <c:v>Erste Group / Santander Bank Polska (49%)</c:v>
                </c:pt>
                <c:pt idx="5">
                  <c:v>Monte dei Paschi / Mediobanca</c:v>
                </c:pt>
                <c:pt idx="6">
                  <c:v>UniCredit / Banco BPM (withdrawn)</c:v>
                </c:pt>
              </c:strCache>
            </c:strRef>
          </c:cat>
          <c:val>
            <c:numRef>
              <c:f>Chart_Data!$B$68:$B$74</c:f>
              <c:numCache>
                <c:formatCode>0.00\x;\(0.00"x)";\-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1.45</c:v>
                </c:pt>
                <c:pt idx="3">
                  <c:v>1.7</c:v>
                </c:pt>
                <c:pt idx="4">
                  <c:v>2.2</c:v>
                </c:pt>
                <c:pt idx="5">
                  <c:v>1.3</c:v>
                </c:pt>
                <c:pt idx="6">
                  <c:v>0.79</c:v>
                </c:pt>
              </c:numCache>
            </c:numRef>
          </c:val>
        </c:ser>
        <c:gapWidth val="150"/>
        <c:overlap val="0"/>
        <c:axId val="75898474"/>
        <c:axId val="88914594"/>
      </c:barChart>
      <c:catAx>
        <c:axId val="758984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14594"/>
        <c:crosses val="autoZero"/>
        <c:auto val="1"/>
        <c:lblAlgn val="ctr"/>
        <c:lblOffset val="100"/>
        <c:noMultiLvlLbl val="0"/>
      </c:catAx>
      <c:valAx>
        <c:axId val="88914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;\(0.0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984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DDM equity value build (EUR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Chart_Data!B13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Chart_Data!$A$14:$A$17</c:f>
              <c:strCache>
                <c:ptCount val="4"/>
                <c:pt idx="0">
                  <c:v>Remaining FY26E distribution</c:v>
                </c:pt>
                <c:pt idx="1">
                  <c:v>PV FY27E-31E distributions</c:v>
                </c:pt>
                <c:pt idx="2">
                  <c:v>PV terminal value</c:v>
                </c:pt>
                <c:pt idx="3">
                  <c:v>Equity value</c:v>
                </c:pt>
              </c:strCache>
            </c:strRef>
          </c:cat>
          <c:val>
            <c:numRef>
              <c:f>Chart_Data!$B$14:$B$17</c:f>
              <c:numCache>
                <c:formatCode>#,##0;\(#,##0\);\-</c:formatCode>
                <c:ptCount val="4"/>
                <c:pt idx="0">
                  <c:v>0</c:v>
                </c:pt>
                <c:pt idx="1">
                  <c:v>4187.4547272</c:v>
                </c:pt>
                <c:pt idx="2">
                  <c:v>49626.9995278303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Chart_Data!C13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Chart_Data!$A$14:$A$17</c:f>
              <c:strCache>
                <c:ptCount val="4"/>
                <c:pt idx="0">
                  <c:v>Remaining FY26E distribution</c:v>
                </c:pt>
                <c:pt idx="1">
                  <c:v>PV FY27E-31E distributions</c:v>
                </c:pt>
                <c:pt idx="2">
                  <c:v>PV terminal value</c:v>
                </c:pt>
                <c:pt idx="3">
                  <c:v>Equity value</c:v>
                </c:pt>
              </c:strCache>
            </c:strRef>
          </c:cat>
          <c:val>
            <c:numRef>
              <c:f>Chart_Data!$C$14:$C$17</c:f>
              <c:numCache>
                <c:formatCode>#,##0;\(#,##0\);\-</c:formatCode>
                <c:ptCount val="4"/>
                <c:pt idx="0">
                  <c:v>4187.4547272</c:v>
                </c:pt>
                <c:pt idx="1">
                  <c:v>45439.5448006303</c:v>
                </c:pt>
                <c:pt idx="2">
                  <c:v>82955.49814801</c:v>
                </c:pt>
                <c:pt idx="3">
                  <c:v>132582.49767584</c:v>
                </c:pt>
              </c:numCache>
            </c:numRef>
          </c:val>
        </c:ser>
        <c:gapWidth val="150"/>
        <c:overlap val="100"/>
        <c:axId val="7652835"/>
        <c:axId val="79594628"/>
      </c:barChart>
      <c:catAx>
        <c:axId val="7652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94628"/>
        <c:crosses val="autoZero"/>
        <c:auto val="1"/>
        <c:lblAlgn val="ctr"/>
        <c:lblOffset val="100"/>
        <c:noMultiLvlLbl val="0"/>
      </c:catAx>
      <c:valAx>
        <c:axId val="79594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2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of equity: CAPM vs market-implied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Chart_Data!B20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Chart_Data!$A$21:$A$24</c:f>
              <c:strCache>
                <c:ptCount val="4"/>
                <c:pt idx="0">
                  <c:v>OAT 10Y</c:v>
                </c:pt>
                <c:pt idx="1">
                  <c:v>+ Beta x ERP</c:v>
                </c:pt>
                <c:pt idx="2">
                  <c:v>CAPM cost of equity</c:v>
                </c:pt>
                <c:pt idx="3">
                  <c:v>Implied by share price</c:v>
                </c:pt>
              </c:strCache>
            </c:strRef>
          </c:cat>
          <c:val>
            <c:numRef>
              <c:f>Chart_Data!$B$21:$B$24</c:f>
              <c:numCache>
                <c:formatCode>0.0%;\(0.0%\);\-</c:formatCode>
                <c:ptCount val="4"/>
                <c:pt idx="0">
                  <c:v>0</c:v>
                </c:pt>
                <c:pt idx="1">
                  <c:v>0.0493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Chart_Data!C20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Chart_Data!$A$21:$A$24</c:f>
              <c:strCache>
                <c:ptCount val="4"/>
                <c:pt idx="0">
                  <c:v>OAT 10Y</c:v>
                </c:pt>
                <c:pt idx="1">
                  <c:v>+ Beta x ERP</c:v>
                </c:pt>
                <c:pt idx="2">
                  <c:v>CAPM cost of equity</c:v>
                </c:pt>
                <c:pt idx="3">
                  <c:v>Implied by share price</c:v>
                </c:pt>
              </c:strCache>
            </c:strRef>
          </c:cat>
          <c:val>
            <c:numRef>
              <c:f>Chart_Data!$C$21:$C$24</c:f>
              <c:numCache>
                <c:formatCode>0.0%;\(0.0%\);\-</c:formatCode>
                <c:ptCount val="4"/>
                <c:pt idx="0">
                  <c:v>0.0493</c:v>
                </c:pt>
                <c:pt idx="1">
                  <c:v>0.0686345</c:v>
                </c:pt>
                <c:pt idx="2">
                  <c:v>0.1179345</c:v>
                </c:pt>
                <c:pt idx="3">
                  <c:v>0.159420550933767</c:v>
                </c:pt>
              </c:numCache>
            </c:numRef>
          </c:val>
        </c:ser>
        <c:gapWidth val="150"/>
        <c:overlap val="100"/>
        <c:axId val="10102443"/>
        <c:axId val="76930421"/>
      </c:barChart>
      <c:catAx>
        <c:axId val="10102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30421"/>
        <c:crosses val="autoZero"/>
        <c:auto val="1"/>
        <c:lblAlgn val="ctr"/>
        <c:lblOffset val="100"/>
        <c:noMultiLvlLbl val="0"/>
      </c:catAx>
      <c:valAx>
        <c:axId val="76930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024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Revenues by division (EUR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Chart_Data!A38</c:f>
              <c:strCache>
                <c:ptCount val="1"/>
                <c:pt idx="0">
                  <c:v>CPBS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Chart_Data!$B$37:$I$37</c:f>
              <c:strCache>
                <c:ptCount val="8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  <c:pt idx="7">
                  <c:v>FY31E</c:v>
                </c:pt>
              </c:strCache>
            </c:strRef>
          </c:cat>
          <c:val>
            <c:numRef>
              <c:f>Chart_Data!$B$38:$I$38</c:f>
              <c:numCache>
                <c:formatCode>#,##0;\(#,##0\);\-</c:formatCode>
                <c:ptCount val="8"/>
                <c:pt idx="0">
                  <c:v>26050</c:v>
                </c:pt>
                <c:pt idx="1">
                  <c:v>26717</c:v>
                </c:pt>
                <c:pt idx="2">
                  <c:v>27731.97</c:v>
                </c:pt>
                <c:pt idx="3">
                  <c:v>28979.90865</c:v>
                </c:pt>
                <c:pt idx="4">
                  <c:v>30284.00453925</c:v>
                </c:pt>
                <c:pt idx="5">
                  <c:v>31495.36472082</c:v>
                </c:pt>
                <c:pt idx="6">
                  <c:v>32597.7024860487</c:v>
                </c:pt>
                <c:pt idx="7">
                  <c:v>33738.6220730604</c:v>
                </c:pt>
              </c:numCache>
            </c:numRef>
          </c:val>
        </c:ser>
        <c:ser>
          <c:idx val="1"/>
          <c:order val="1"/>
          <c:tx>
            <c:strRef>
              <c:f>Chart_Data!A39</c:f>
              <c:strCache>
                <c:ptCount val="1"/>
                <c:pt idx="0">
                  <c:v>IPS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Chart_Data!$B$37:$I$37</c:f>
              <c:strCache>
                <c:ptCount val="8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  <c:pt idx="7">
                  <c:v>FY31E</c:v>
                </c:pt>
              </c:strCache>
            </c:strRef>
          </c:cat>
          <c:val>
            <c:numRef>
              <c:f>Chart_Data!$B$39:$I$39</c:f>
              <c:numCache>
                <c:formatCode>#,##0;\(#,##0\);\-</c:formatCode>
                <c:ptCount val="8"/>
                <c:pt idx="0">
                  <c:v>5793</c:v>
                </c:pt>
                <c:pt idx="1">
                  <c:v>6929</c:v>
                </c:pt>
                <c:pt idx="2">
                  <c:v>7844</c:v>
                </c:pt>
                <c:pt idx="3">
                  <c:v>8314.64</c:v>
                </c:pt>
                <c:pt idx="4">
                  <c:v>8813.5184</c:v>
                </c:pt>
                <c:pt idx="5">
                  <c:v>9254.19432</c:v>
                </c:pt>
                <c:pt idx="6">
                  <c:v>9716.904036</c:v>
                </c:pt>
                <c:pt idx="7">
                  <c:v>10154.16471762</c:v>
                </c:pt>
              </c:numCache>
            </c:numRef>
          </c:val>
        </c:ser>
        <c:ser>
          <c:idx val="2"/>
          <c:order val="2"/>
          <c:tx>
            <c:strRef>
              <c:f>Chart_Data!A40</c:f>
              <c:strCache>
                <c:ptCount val="1"/>
                <c:pt idx="0">
                  <c:v>CIB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Chart_Data!$B$37:$I$37</c:f>
              <c:strCache>
                <c:ptCount val="8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  <c:pt idx="7">
                  <c:v>FY31E</c:v>
                </c:pt>
              </c:strCache>
            </c:strRef>
          </c:cat>
          <c:val>
            <c:numRef>
              <c:f>Chart_Data!$B$40:$I$40</c:f>
              <c:numCache>
                <c:formatCode>#,##0;\(#,##0\);\-</c:formatCode>
                <c:ptCount val="8"/>
                <c:pt idx="0">
                  <c:v>17993</c:v>
                </c:pt>
                <c:pt idx="1">
                  <c:v>18997</c:v>
                </c:pt>
                <c:pt idx="2">
                  <c:v>19995.6</c:v>
                </c:pt>
                <c:pt idx="3">
                  <c:v>20795.424</c:v>
                </c:pt>
                <c:pt idx="4">
                  <c:v>21627.24096</c:v>
                </c:pt>
                <c:pt idx="5">
                  <c:v>22492.3305984</c:v>
                </c:pt>
                <c:pt idx="6">
                  <c:v>23279.562169344</c:v>
                </c:pt>
                <c:pt idx="7">
                  <c:v>24094.346845271</c:v>
                </c:pt>
              </c:numCache>
            </c:numRef>
          </c:val>
        </c:ser>
        <c:ser>
          <c:idx val="3"/>
          <c:order val="3"/>
          <c:tx>
            <c:strRef>
              <c:f>Chart_Data!A41</c:f>
              <c:strCache>
                <c:ptCount val="1"/>
                <c:pt idx="0">
                  <c:v>Corporate Centre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Chart_Data!$B$37:$I$37</c:f>
              <c:strCache>
                <c:ptCount val="8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  <c:pt idx="7">
                  <c:v>FY31E</c:v>
                </c:pt>
              </c:strCache>
            </c:strRef>
          </c:cat>
          <c:val>
            <c:numRef>
              <c:f>Chart_Data!$B$41:$I$41</c:f>
              <c:numCache>
                <c:formatCode>#,##0;\(#,##0\);\-</c:formatCode>
                <c:ptCount val="8"/>
                <c:pt idx="0">
                  <c:v>-1005</c:v>
                </c:pt>
                <c:pt idx="1">
                  <c:v>-1420</c:v>
                </c:pt>
                <c:pt idx="2">
                  <c:v>-546</c:v>
                </c:pt>
                <c:pt idx="3">
                  <c:v>-500</c:v>
                </c:pt>
                <c:pt idx="4">
                  <c:v>-500</c:v>
                </c:pt>
                <c:pt idx="5">
                  <c:v>-500</c:v>
                </c:pt>
                <c:pt idx="6">
                  <c:v>-500</c:v>
                </c:pt>
                <c:pt idx="7">
                  <c:v>-500</c:v>
                </c:pt>
              </c:numCache>
            </c:numRef>
          </c:val>
        </c:ser>
        <c:gapWidth val="150"/>
        <c:overlap val="100"/>
        <c:axId val="77817152"/>
        <c:axId val="49865600"/>
      </c:barChart>
      <c:catAx>
        <c:axId val="778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65600"/>
        <c:crosses val="autoZero"/>
        <c:auto val="1"/>
        <c:lblAlgn val="ctr"/>
        <c:lblOffset val="100"/>
        <c:noMultiLvlLbl val="0"/>
      </c:catAx>
      <c:valAx>
        <c:axId val="49865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171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income (EUR m) and RoTE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Chart_Data!B45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Chart_Data!$A$46:$A$53</c:f>
              <c:strCache>
                <c:ptCount val="8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  <c:pt idx="7">
                  <c:v>FY31E</c:v>
                </c:pt>
              </c:strCache>
            </c:strRef>
          </c:cat>
          <c:val>
            <c:numRef>
              <c:f>Chart_Data!$B$46:$B$53</c:f>
              <c:numCache>
                <c:formatCode>#,##0;\(#,##0\);\-</c:formatCode>
                <c:ptCount val="8"/>
                <c:pt idx="0">
                  <c:v>11688</c:v>
                </c:pt>
                <c:pt idx="1">
                  <c:v>12225</c:v>
                </c:pt>
                <c:pt idx="2">
                  <c:v>13831.296212</c:v>
                </c:pt>
                <c:pt idx="3">
                  <c:v>14657.456671925</c:v>
                </c:pt>
                <c:pt idx="4">
                  <c:v>16194.9440114997</c:v>
                </c:pt>
                <c:pt idx="5">
                  <c:v>17327.8480609739</c:v>
                </c:pt>
                <c:pt idx="6">
                  <c:v>18343.7916554941</c:v>
                </c:pt>
                <c:pt idx="7">
                  <c:v>19247.3572229632</c:v>
                </c:pt>
              </c:numCache>
            </c:numRef>
          </c:val>
        </c:ser>
        <c:gapWidth val="150"/>
        <c:overlap val="0"/>
        <c:axId val="48985069"/>
        <c:axId val="77236178"/>
      </c:barChart>
      <c:lineChart>
        <c:grouping val="standard"/>
        <c:varyColors val="0"/>
        <c:ser>
          <c:idx val="1"/>
          <c:order val="1"/>
          <c:tx>
            <c:strRef>
              <c:f>Chart_Data!C45</c:f>
              <c:strCache>
                <c:ptCount val="1"/>
                <c:pt idx="0">
                  <c:v>RoTE</c:v>
                </c:pt>
              </c:strCache>
            </c:strRef>
          </c:tx>
          <c:spPr>
            <a:solidFill>
              <a:srgbClr val="00a651"/>
            </a:solidFill>
            <a:ln w="28440">
              <a:solidFill>
                <a:srgbClr val="00a6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Chart_Data!$A$46:$A$53</c:f>
              <c:strCache>
                <c:ptCount val="8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  <c:pt idx="7">
                  <c:v>FY31E</c:v>
                </c:pt>
              </c:strCache>
            </c:strRef>
          </c:cat>
          <c:val>
            <c:numRef>
              <c:f>Chart_Data!$C$46:$C$53</c:f>
              <c:numCache>
                <c:formatCode>0.0%;\(0.0%\);\-</c:formatCode>
                <c:ptCount val="8"/>
                <c:pt idx="0">
                  <c:v>0.109</c:v>
                </c:pt>
                <c:pt idx="1">
                  <c:v>0.116</c:v>
                </c:pt>
                <c:pt idx="2">
                  <c:v>0.125024848558579</c:v>
                </c:pt>
                <c:pt idx="3">
                  <c:v>0.126776113871586</c:v>
                </c:pt>
                <c:pt idx="4">
                  <c:v>0.136681246107614</c:v>
                </c:pt>
                <c:pt idx="5">
                  <c:v>0.142672104494993</c:v>
                </c:pt>
                <c:pt idx="6">
                  <c:v>0.147219751268984</c:v>
                </c:pt>
                <c:pt idx="7">
                  <c:v>0.150466731061784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562625"/>
        <c:axId val="34811305"/>
      </c:lineChart>
      <c:catAx>
        <c:axId val="48985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36178"/>
        <c:crosses val="autoZero"/>
        <c:auto val="1"/>
        <c:lblAlgn val="ctr"/>
        <c:lblOffset val="100"/>
        <c:noMultiLvlLbl val="0"/>
      </c:catAx>
      <c:valAx>
        <c:axId val="77236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85069"/>
        <c:crosses val="autoZero"/>
        <c:crossBetween val="between"/>
      </c:valAx>
      <c:catAx>
        <c:axId val="1656262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11305"/>
        <c:crosses val="autoZero"/>
        <c:auto val="1"/>
        <c:lblAlgn val="ctr"/>
        <c:lblOffset val="100"/>
        <c:noMultiLvlLbl val="0"/>
      </c:catAx>
      <c:valAx>
        <c:axId val="3481130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6262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Distributions (EUR m) and payout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Chart_Data!B77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Chart_Data!$A$78:$A$83</c:f>
              <c:strCache>
                <c:ptCount val="6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Chart_Data!$B$78:$B$83</c:f>
              <c:numCache>
                <c:formatCode>#,##0;\(#,##0\);\-</c:formatCode>
                <c:ptCount val="6"/>
                <c:pt idx="0">
                  <c:v>7740.7777272</c:v>
                </c:pt>
                <c:pt idx="1">
                  <c:v>10090.206671925</c:v>
                </c:pt>
                <c:pt idx="2">
                  <c:v>12035.9265114997</c:v>
                </c:pt>
                <c:pt idx="3">
                  <c:v>13072.5600359739</c:v>
                </c:pt>
                <c:pt idx="4">
                  <c:v>13989.3449897441</c:v>
                </c:pt>
                <c:pt idx="5">
                  <c:v>14790.7771572407</c:v>
                </c:pt>
              </c:numCache>
            </c:numRef>
          </c:val>
        </c:ser>
        <c:gapWidth val="150"/>
        <c:overlap val="0"/>
        <c:axId val="45896240"/>
        <c:axId val="31971525"/>
      </c:barChart>
      <c:lineChart>
        <c:grouping val="standard"/>
        <c:varyColors val="0"/>
        <c:ser>
          <c:idx val="1"/>
          <c:order val="1"/>
          <c:tx>
            <c:strRef>
              <c:f>Chart_Data!C77</c:f>
              <c:strCache>
                <c:ptCount val="1"/>
                <c:pt idx="0">
                  <c:v>Payout</c:v>
                </c:pt>
              </c:strCache>
            </c:strRef>
          </c:tx>
          <c:spPr>
            <a:solidFill>
              <a:srgbClr val="00a651"/>
            </a:solidFill>
            <a:ln w="28440">
              <a:solidFill>
                <a:srgbClr val="00a6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Chart_Data!$A$78:$A$83</c:f>
              <c:strCache>
                <c:ptCount val="6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Chart_Data!$C$78:$C$83</c:f>
              <c:numCache>
                <c:formatCode>0.0%;\(0.0%\);\-</c:formatCode>
                <c:ptCount val="6"/>
                <c:pt idx="0">
                  <c:v>0.6</c:v>
                </c:pt>
                <c:pt idx="1">
                  <c:v>0.736110783599362</c:v>
                </c:pt>
                <c:pt idx="2">
                  <c:v>0.789502834672312</c:v>
                </c:pt>
                <c:pt idx="3">
                  <c:v>0.798185450695684</c:v>
                </c:pt>
                <c:pt idx="4">
                  <c:v>0.804272309731003</c:v>
                </c:pt>
                <c:pt idx="5">
                  <c:v>0.808355926870043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204618"/>
        <c:axId val="73035120"/>
      </c:lineChart>
      <c:catAx>
        <c:axId val="4589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71525"/>
        <c:crosses val="autoZero"/>
        <c:auto val="1"/>
        <c:lblAlgn val="ctr"/>
        <c:lblOffset val="100"/>
        <c:noMultiLvlLbl val="0"/>
      </c:catAx>
      <c:valAx>
        <c:axId val="31971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96240"/>
        <c:crosses val="autoZero"/>
        <c:crossBetween val="between"/>
      </c:valAx>
      <c:catAx>
        <c:axId val="8220461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35120"/>
        <c:crosses val="autoZero"/>
        <c:auto val="1"/>
        <c:lblAlgn val="ctr"/>
        <c:lblOffset val="100"/>
        <c:noMultiLvlLbl val="0"/>
      </c:catAx>
      <c:valAx>
        <c:axId val="730351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0461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Implied value by method vs target and price (EUR/share)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Chart_Data!B27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Chart_Data!$A$28:$A$34</c:f>
              <c:strCache>
                <c:ptCount val="7"/>
                <c:pt idx="0">
                  <c:v>Excess-capital DDM</c:v>
                </c:pt>
                <c:pt idx="1">
                  <c:v>Gordon P/TBV</c:v>
                </c:pt>
                <c:pt idx="2">
                  <c:v>Trading comps</c:v>
                </c:pt>
                <c:pt idx="3">
                  <c:v>Precedents</c:v>
                </c:pt>
                <c:pt idx="4">
                  <c:v>Blended target</c:v>
                </c:pt>
                <c:pt idx="5">
                  <c:v>Consensus target</c:v>
                </c:pt>
                <c:pt idx="6">
                  <c:v>Current price</c:v>
                </c:pt>
              </c:strCache>
            </c:strRef>
          </c:cat>
          <c:val>
            <c:numRef>
              <c:f>Chart_Data!$B$28:$B$34</c:f>
              <c:numCache>
                <c:formatCode>#,##0.00;\(#,##0.00\);\-</c:formatCode>
                <c:ptCount val="7"/>
                <c:pt idx="0">
                  <c:v>120.518587106481</c:v>
                </c:pt>
                <c:pt idx="1">
                  <c:v>117.287479123761</c:v>
                </c:pt>
                <c:pt idx="2">
                  <c:v>102.655547812662</c:v>
                </c:pt>
                <c:pt idx="3">
                  <c:v>114.236990197239</c:v>
                </c:pt>
                <c:pt idx="4">
                  <c:v>112.516506821578</c:v>
                </c:pt>
                <c:pt idx="5">
                  <c:v>118.06</c:v>
                </c:pt>
                <c:pt idx="6">
                  <c:v>83.52</c:v>
                </c:pt>
              </c:numCache>
            </c:numRef>
          </c:val>
        </c:ser>
        <c:gapWidth val="150"/>
        <c:overlap val="0"/>
        <c:axId val="62672215"/>
        <c:axId val="13208101"/>
      </c:barChart>
      <c:catAx>
        <c:axId val="62672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08101"/>
        <c:crosses val="autoZero"/>
        <c:auto val="1"/>
        <c:lblAlgn val="ctr"/>
        <c:lblOffset val="100"/>
        <c:noMultiLvlLbl val="0"/>
      </c:catAx>
      <c:valAx>
        <c:axId val="13208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72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EPS: Axone vs consensus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Chart_Data!B86</c:f>
              <c:strCache>
                <c:ptCount val="1"/>
                <c:pt idx="0">
                  <c:v>Axone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Chart_Data!$A$87:$A$90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f>Chart_Data!$B$87:$B$90</c:f>
              <c:numCache>
                <c:formatCode>#,##0.00;\(#,##0.00\);\-</c:formatCode>
                <c:ptCount val="4"/>
                <c:pt idx="0">
                  <c:v>11.7279180146357</c:v>
                </c:pt>
                <c:pt idx="1">
                  <c:v>12.5499044259723</c:v>
                </c:pt>
                <c:pt idx="2">
                  <c:v>14.3069025173801</c:v>
                </c:pt>
                <c:pt idx="3">
                  <c:v>16.0142316590378</c:v>
                </c:pt>
              </c:numCache>
            </c:numRef>
          </c:val>
        </c:ser>
        <c:ser>
          <c:idx val="1"/>
          <c:order val="1"/>
          <c:tx>
            <c:strRef>
              <c:f>Chart_Data!C86</c:f>
              <c:strCache>
                <c:ptCount val="1"/>
                <c:pt idx="0">
                  <c:v>Consensus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Chart_Data!$A$87:$A$90</c:f>
              <c:strCache>
                <c:ptCount val="4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</c:strCache>
            </c:strRef>
          </c:cat>
          <c:val>
            <c:numRef>
              <c:f>Chart_Data!$C$87:$C$90</c:f>
              <c:numCache>
                <c:formatCode>#,##0.00;\(#,##0.00\);\-</c:formatCode>
                <c:ptCount val="4"/>
                <c:pt idx="0">
                  <c:v>11.89</c:v>
                </c:pt>
                <c:pt idx="1">
                  <c:v>12.87</c:v>
                </c:pt>
                <c:pt idx="2">
                  <c:v>14.38</c:v>
                </c:pt>
                <c:pt idx="3">
                  <c:v>15.98</c:v>
                </c:pt>
              </c:numCache>
            </c:numRef>
          </c:val>
        </c:ser>
        <c:gapWidth val="150"/>
        <c:overlap val="0"/>
        <c:axId val="84662991"/>
        <c:axId val="61167334"/>
      </c:barChart>
      <c:catAx>
        <c:axId val="8466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67334"/>
        <c:crosses val="autoZero"/>
        <c:auto val="1"/>
        <c:lblAlgn val="ctr"/>
        <c:lblOffset val="100"/>
        <c:noMultiLvlLbl val="0"/>
      </c:catAx>
      <c:valAx>
        <c:axId val="61167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62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TBVPS and DPS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Chart_Data!B93</c:f>
              <c:strCache>
                <c:ptCount val="1"/>
                <c:pt idx="0">
                  <c:v>TBVPS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Chart_Data!$A$94:$A$99</c:f>
              <c:strCache>
                <c:ptCount val="6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Chart_Data!$B$94:$B$99</c:f>
              <c:numCache>
                <c:formatCode>#,##0.00;\(#,##0.00\);\-</c:formatCode>
                <c:ptCount val="6"/>
                <c:pt idx="0">
                  <c:v>96.6409539903645</c:v>
                </c:pt>
                <c:pt idx="1">
                  <c:v>101.378471058801</c:v>
                </c:pt>
                <c:pt idx="2">
                  <c:v>108.086898564278</c:v>
                </c:pt>
                <c:pt idx="3">
                  <c:v>116.60342459883</c:v>
                </c:pt>
                <c:pt idx="4">
                  <c:v>126.25061610398</c:v>
                </c:pt>
                <c:pt idx="5">
                  <c:v>137.075961722605</c:v>
                </c:pt>
              </c:numCache>
            </c:numRef>
          </c:val>
        </c:ser>
        <c:gapWidth val="150"/>
        <c:overlap val="0"/>
        <c:axId val="65968067"/>
        <c:axId val="19449769"/>
      </c:barChart>
      <c:lineChart>
        <c:grouping val="standard"/>
        <c:varyColors val="0"/>
        <c:ser>
          <c:idx val="1"/>
          <c:order val="1"/>
          <c:tx>
            <c:strRef>
              <c:f>Chart_Data!C93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00a651"/>
            </a:solidFill>
            <a:ln w="28440">
              <a:solidFill>
                <a:srgbClr val="00a6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Chart_Data!$A$94:$A$99</c:f>
              <c:strCache>
                <c:ptCount val="6"/>
                <c:pt idx="0">
                  <c:v>FY26E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Chart_Data!$C$94:$C$99</c:f>
              <c:numCache>
                <c:formatCode>#,##0.00;\(#,##0.00\);\-</c:formatCode>
                <c:ptCount val="6"/>
                <c:pt idx="0">
                  <c:v>5.86369248795564</c:v>
                </c:pt>
                <c:pt idx="1">
                  <c:v>6.32045928887945</c:v>
                </c:pt>
                <c:pt idx="2">
                  <c:v>7.28197114187319</c:v>
                </c:pt>
                <c:pt idx="3">
                  <c:v>8.19997578156899</c:v>
                </c:pt>
                <c:pt idx="4">
                  <c:v>9.16130079204182</c:v>
                </c:pt>
                <c:pt idx="5">
                  <c:v>10.1661106594791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084862"/>
        <c:axId val="28264611"/>
      </c:lineChart>
      <c:catAx>
        <c:axId val="65968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49769"/>
        <c:crosses val="autoZero"/>
        <c:auto val="1"/>
        <c:lblAlgn val="ctr"/>
        <c:lblOffset val="100"/>
        <c:noMultiLvlLbl val="0"/>
      </c:catAx>
      <c:valAx>
        <c:axId val="19449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68067"/>
        <c:crosses val="autoZero"/>
        <c:crossBetween val="between"/>
      </c:valAx>
      <c:catAx>
        <c:axId val="5408486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64611"/>
        <c:crosses val="autoZero"/>
        <c:auto val="1"/>
        <c:lblAlgn val="ctr"/>
        <c:lblOffset val="100"/>
        <c:noMultiLvlLbl val="0"/>
      </c:catAx>
      <c:valAx>
        <c:axId val="28264611"/>
        <c:scaling>
          <c:orientation val="minMax"/>
        </c:scaling>
        <c:delete val="0"/>
        <c:axPos val="r"/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8486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20</xdr:col>
      <xdr:colOff>255960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1038600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1</xdr:row>
      <xdr:rowOff>0</xdr:rowOff>
    </xdr:from>
    <xdr:to>
      <xdr:col>31</xdr:col>
      <xdr:colOff>255960</xdr:colOff>
      <xdr:row>16</xdr:row>
      <xdr:rowOff>21960</xdr:rowOff>
    </xdr:to>
    <xdr:graphicFrame>
      <xdr:nvGraphicFramePr>
        <xdr:cNvPr id="1" name="Chart 2"/>
        <xdr:cNvGraphicFramePr/>
      </xdr:nvGraphicFramePr>
      <xdr:xfrm>
        <a:off x="1711260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18</xdr:row>
      <xdr:rowOff>0</xdr:rowOff>
    </xdr:from>
    <xdr:to>
      <xdr:col>20</xdr:col>
      <xdr:colOff>255960</xdr:colOff>
      <xdr:row>33</xdr:row>
      <xdr:rowOff>21960</xdr:rowOff>
    </xdr:to>
    <xdr:graphicFrame>
      <xdr:nvGraphicFramePr>
        <xdr:cNvPr id="2" name="Chart 3"/>
        <xdr:cNvGraphicFramePr/>
      </xdr:nvGraphicFramePr>
      <xdr:xfrm>
        <a:off x="1038600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0</xdr:colOff>
      <xdr:row>18</xdr:row>
      <xdr:rowOff>0</xdr:rowOff>
    </xdr:from>
    <xdr:to>
      <xdr:col>31</xdr:col>
      <xdr:colOff>255960</xdr:colOff>
      <xdr:row>33</xdr:row>
      <xdr:rowOff>21960</xdr:rowOff>
    </xdr:to>
    <xdr:graphicFrame>
      <xdr:nvGraphicFramePr>
        <xdr:cNvPr id="3" name="Chart 4"/>
        <xdr:cNvGraphicFramePr/>
      </xdr:nvGraphicFramePr>
      <xdr:xfrm>
        <a:off x="1711260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35</xdr:row>
      <xdr:rowOff>0</xdr:rowOff>
    </xdr:from>
    <xdr:to>
      <xdr:col>20</xdr:col>
      <xdr:colOff>255960</xdr:colOff>
      <xdr:row>50</xdr:row>
      <xdr:rowOff>22320</xdr:rowOff>
    </xdr:to>
    <xdr:graphicFrame>
      <xdr:nvGraphicFramePr>
        <xdr:cNvPr id="4" name="Chart 5"/>
        <xdr:cNvGraphicFramePr/>
      </xdr:nvGraphicFramePr>
      <xdr:xfrm>
        <a:off x="10386000" y="6667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0</xdr:colOff>
      <xdr:row>35</xdr:row>
      <xdr:rowOff>0</xdr:rowOff>
    </xdr:from>
    <xdr:to>
      <xdr:col>31</xdr:col>
      <xdr:colOff>255960</xdr:colOff>
      <xdr:row>50</xdr:row>
      <xdr:rowOff>22320</xdr:rowOff>
    </xdr:to>
    <xdr:graphicFrame>
      <xdr:nvGraphicFramePr>
        <xdr:cNvPr id="5" name="Chart 6"/>
        <xdr:cNvGraphicFramePr/>
      </xdr:nvGraphicFramePr>
      <xdr:xfrm>
        <a:off x="17112600" y="6667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52</xdr:row>
      <xdr:rowOff>0</xdr:rowOff>
    </xdr:from>
    <xdr:to>
      <xdr:col>20</xdr:col>
      <xdr:colOff>255960</xdr:colOff>
      <xdr:row>67</xdr:row>
      <xdr:rowOff>22320</xdr:rowOff>
    </xdr:to>
    <xdr:graphicFrame>
      <xdr:nvGraphicFramePr>
        <xdr:cNvPr id="6" name="Chart 7"/>
        <xdr:cNvGraphicFramePr/>
      </xdr:nvGraphicFramePr>
      <xdr:xfrm>
        <a:off x="10386000" y="9906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0</xdr:colOff>
      <xdr:row>52</xdr:row>
      <xdr:rowOff>0</xdr:rowOff>
    </xdr:from>
    <xdr:to>
      <xdr:col>31</xdr:col>
      <xdr:colOff>255960</xdr:colOff>
      <xdr:row>67</xdr:row>
      <xdr:rowOff>22320</xdr:rowOff>
    </xdr:to>
    <xdr:graphicFrame>
      <xdr:nvGraphicFramePr>
        <xdr:cNvPr id="7" name="Chart 8"/>
        <xdr:cNvGraphicFramePr/>
      </xdr:nvGraphicFramePr>
      <xdr:xfrm>
        <a:off x="17112600" y="9906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11</xdr:col>
      <xdr:colOff>0</xdr:colOff>
      <xdr:row>69</xdr:row>
      <xdr:rowOff>0</xdr:rowOff>
    </xdr:from>
    <xdr:to>
      <xdr:col>20</xdr:col>
      <xdr:colOff>255960</xdr:colOff>
      <xdr:row>84</xdr:row>
      <xdr:rowOff>22320</xdr:rowOff>
    </xdr:to>
    <xdr:graphicFrame>
      <xdr:nvGraphicFramePr>
        <xdr:cNvPr id="8" name="Chart 9"/>
        <xdr:cNvGraphicFramePr/>
      </xdr:nvGraphicFramePr>
      <xdr:xfrm>
        <a:off x="10386000" y="1314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22</xdr:col>
      <xdr:colOff>0</xdr:colOff>
      <xdr:row>69</xdr:row>
      <xdr:rowOff>0</xdr:rowOff>
    </xdr:from>
    <xdr:to>
      <xdr:col>31</xdr:col>
      <xdr:colOff>255960</xdr:colOff>
      <xdr:row>84</xdr:row>
      <xdr:rowOff>22320</xdr:rowOff>
    </xdr:to>
    <xdr:graphicFrame>
      <xdr:nvGraphicFramePr>
        <xdr:cNvPr id="9" name="Chart 10"/>
        <xdr:cNvGraphicFramePr/>
      </xdr:nvGraphicFramePr>
      <xdr:xfrm>
        <a:off x="17112600" y="1314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11</xdr:col>
      <xdr:colOff>0</xdr:colOff>
      <xdr:row>86</xdr:row>
      <xdr:rowOff>0</xdr:rowOff>
    </xdr:from>
    <xdr:to>
      <xdr:col>20</xdr:col>
      <xdr:colOff>255960</xdr:colOff>
      <xdr:row>101</xdr:row>
      <xdr:rowOff>21960</xdr:rowOff>
    </xdr:to>
    <xdr:graphicFrame>
      <xdr:nvGraphicFramePr>
        <xdr:cNvPr id="10" name="Chart 11"/>
        <xdr:cNvGraphicFramePr/>
      </xdr:nvGraphicFramePr>
      <xdr:xfrm>
        <a:off x="10386000" y="1638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22</xdr:col>
      <xdr:colOff>0</xdr:colOff>
      <xdr:row>86</xdr:row>
      <xdr:rowOff>0</xdr:rowOff>
    </xdr:from>
    <xdr:to>
      <xdr:col>31</xdr:col>
      <xdr:colOff>255960</xdr:colOff>
      <xdr:row>101</xdr:row>
      <xdr:rowOff>21960</xdr:rowOff>
    </xdr:to>
    <xdr:graphicFrame>
      <xdr:nvGraphicFramePr>
        <xdr:cNvPr id="11" name="Chart 12"/>
        <xdr:cNvGraphicFramePr/>
      </xdr:nvGraphicFramePr>
      <xdr:xfrm>
        <a:off x="17112600" y="1638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4" min="3" style="0" width="12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3" t="n">
        <v>46322</v>
      </c>
    </row>
    <row r="7" customFormat="false" ht="15" hidden="false" customHeight="false" outlineLevel="0" collapsed="false">
      <c r="A7" s="2" t="s">
        <v>8</v>
      </c>
      <c r="B7" s="4" t="str">
        <f aca="false">IF(B10&gt;=0.15,"BUY",IF(B10&lt;=-0.1,"SELL","HOLD"))</f>
        <v>BUY</v>
      </c>
    </row>
    <row r="8" customFormat="false" ht="15" hidden="false" customHeight="false" outlineLevel="0" collapsed="false">
      <c r="A8" s="2" t="s">
        <v>9</v>
      </c>
      <c r="B8" s="5" t="n">
        <f aca="false">Data!$B$2</f>
        <v>83.52</v>
      </c>
    </row>
    <row r="9" customFormat="false" ht="15" hidden="false" customHeight="false" outlineLevel="0" collapsed="false">
      <c r="A9" s="2" t="s">
        <v>10</v>
      </c>
      <c r="B9" s="6" t="n">
        <f aca="false">B16</f>
        <v>112.516506821578</v>
      </c>
    </row>
    <row r="10" customFormat="false" ht="15" hidden="false" customHeight="false" outlineLevel="0" collapsed="false">
      <c r="A10" s="2" t="s">
        <v>11</v>
      </c>
      <c r="B10" s="7" t="n">
        <f aca="false">B9/B8-1</f>
        <v>0.347180397767936</v>
      </c>
    </row>
    <row r="11" customFormat="false" ht="15" hidden="false" customHeight="false" outlineLevel="0" collapsed="false">
      <c r="A11" s="8" t="s">
        <v>12</v>
      </c>
      <c r="B11" s="9" t="s">
        <v>13</v>
      </c>
      <c r="C11" s="9" t="s">
        <v>14</v>
      </c>
    </row>
    <row r="12" customFormat="false" ht="15" hidden="false" customHeight="false" outlineLevel="0" collapsed="false">
      <c r="A12" s="2" t="s">
        <v>15</v>
      </c>
      <c r="B12" s="5" t="n">
        <f aca="false">(Bridge!B9+Bridge!C9)/2</f>
        <v>118.903033115121</v>
      </c>
      <c r="C12" s="10" t="n">
        <v>0.5</v>
      </c>
    </row>
    <row r="13" customFormat="false" ht="15" hidden="false" customHeight="false" outlineLevel="0" collapsed="false">
      <c r="A13" s="2" t="s">
        <v>16</v>
      </c>
      <c r="B13" s="5" t="n">
        <f aca="false">Trading_Comps!B32</f>
        <v>102.655547812662</v>
      </c>
      <c r="C13" s="10" t="n">
        <v>0.35</v>
      </c>
    </row>
    <row r="14" customFormat="false" ht="15" hidden="false" customHeight="false" outlineLevel="0" collapsed="false">
      <c r="A14" s="2" t="s">
        <v>17</v>
      </c>
      <c r="B14" s="5" t="n">
        <f aca="false">Precedent_Transactions!B24</f>
        <v>114.236990197239</v>
      </c>
      <c r="C14" s="10" t="n">
        <v>0.15</v>
      </c>
    </row>
    <row r="15" customFormat="false" ht="15" hidden="false" customHeight="false" outlineLevel="0" collapsed="false">
      <c r="A15" s="11" t="s">
        <v>18</v>
      </c>
      <c r="B15" s="12" t="n">
        <f aca="false">SUM(C12:C14)</f>
        <v>1</v>
      </c>
    </row>
    <row r="16" customFormat="false" ht="15" hidden="false" customHeight="false" outlineLevel="0" collapsed="false">
      <c r="A16" s="13" t="s">
        <v>19</v>
      </c>
      <c r="B16" s="14" t="n">
        <f aca="false">SUMPRODUCT(B12:B14,C12:C14)</f>
        <v>112.516506821578</v>
      </c>
      <c r="C16" s="15"/>
    </row>
    <row r="17" customFormat="false" ht="15" hidden="false" customHeight="false" outlineLevel="0" collapsed="false">
      <c r="A17" s="8" t="s">
        <v>20</v>
      </c>
    </row>
    <row r="18" customFormat="false" ht="15" hidden="false" customHeight="false" outlineLevel="0" collapsed="false">
      <c r="A18" s="2" t="s">
        <v>21</v>
      </c>
      <c r="B18" s="5" t="n">
        <f aca="false">Bridge!B9</f>
        <v>120.518587106481</v>
      </c>
    </row>
    <row r="19" customFormat="false" ht="15" hidden="false" customHeight="false" outlineLevel="0" collapsed="false">
      <c r="A19" s="2" t="s">
        <v>22</v>
      </c>
      <c r="B19" s="5" t="n">
        <f aca="false">Bridge!C9</f>
        <v>117.287479123761</v>
      </c>
    </row>
    <row r="20" customFormat="false" ht="15" hidden="false" customHeight="false" outlineLevel="0" collapsed="false">
      <c r="A20" s="2" t="s">
        <v>23</v>
      </c>
      <c r="B20" s="5" t="n">
        <f aca="false">Trading_Comps!B32</f>
        <v>102.655547812662</v>
      </c>
      <c r="C20" s="5" t="n">
        <f aca="false">Trading_Comps!B33</f>
        <v>91.1317562119889</v>
      </c>
      <c r="D20" s="5" t="n">
        <f aca="false">Trading_Comps!B34</f>
        <v>117.636476893537</v>
      </c>
    </row>
    <row r="21" customFormat="false" ht="15" hidden="false" customHeight="false" outlineLevel="0" collapsed="false">
      <c r="A21" s="2" t="s">
        <v>24</v>
      </c>
      <c r="B21" s="5" t="n">
        <f aca="false">Precedent_Transactions!B24</f>
        <v>114.236990197239</v>
      </c>
      <c r="C21" s="5" t="n">
        <f aca="false">Precedent_Transactions!B25</f>
        <v>107.207021569716</v>
      </c>
      <c r="D21" s="5" t="n">
        <f aca="false">Precedent_Transactions!B26</f>
        <v>156.511406146178</v>
      </c>
    </row>
    <row r="22" customFormat="false" ht="15" hidden="false" customHeight="false" outlineLevel="0" collapsed="false">
      <c r="A22" s="2" t="s">
        <v>25</v>
      </c>
      <c r="B22" s="5" t="n">
        <f aca="false">Data!$B$7</f>
        <v>78.83</v>
      </c>
      <c r="C22" s="5" t="n">
        <f aca="false">Data!$B$8</f>
        <v>113.82</v>
      </c>
    </row>
    <row r="23" customFormat="false" ht="15" hidden="false" customHeight="false" outlineLevel="0" collapsed="false">
      <c r="A23" s="2" t="s">
        <v>26</v>
      </c>
      <c r="B23" s="5" t="n">
        <f aca="false">Data!$B$40</f>
        <v>118.06</v>
      </c>
      <c r="C23" s="5" t="n">
        <f aca="false">Data!$B$41</f>
        <v>100</v>
      </c>
      <c r="D23" s="5" t="n">
        <f aca="false">Data!$B$42</f>
        <v>136</v>
      </c>
    </row>
    <row r="24" customFormat="false" ht="15" hidden="false" customHeight="false" outlineLevel="0" collapsed="false">
      <c r="A24" s="2" t="s">
        <v>27</v>
      </c>
      <c r="B24" s="5" t="n">
        <f aca="false">Sensitivity!F35</f>
        <v>97.1440366679272</v>
      </c>
      <c r="C24" s="5" t="n">
        <f aca="false">Sensitivity!F37</f>
        <v>133.893835254913</v>
      </c>
    </row>
    <row r="25" customFormat="false" ht="15" hidden="false" customHeight="false" outlineLevel="0" collapsed="false">
      <c r="A25" s="8" t="s">
        <v>28</v>
      </c>
    </row>
    <row r="26" customFormat="false" ht="15" hidden="false" customHeight="false" outlineLevel="0" collapsed="false">
      <c r="A26" s="2" t="s">
        <v>29</v>
      </c>
      <c r="B26" s="16" t="n">
        <f aca="false">Data!$B$2*Data!$B$3</f>
        <v>91880.352</v>
      </c>
    </row>
    <row r="27" customFormat="false" ht="15" hidden="false" customHeight="false" outlineLevel="0" collapsed="false">
      <c r="A27" s="2" t="s">
        <v>30</v>
      </c>
      <c r="B27" s="17" t="n">
        <f aca="false">Cost_of_Equity!B23</f>
        <v>0.848780487804878</v>
      </c>
    </row>
    <row r="28" customFormat="false" ht="15" hidden="false" customHeight="false" outlineLevel="0" collapsed="false">
      <c r="A28" s="2" t="s">
        <v>31</v>
      </c>
      <c r="B28" s="18" t="n">
        <f aca="false">B8/DDM!C39</f>
        <v>7.12146860983956</v>
      </c>
    </row>
    <row r="29" customFormat="false" ht="15" hidden="false" customHeight="false" outlineLevel="0" collapsed="false">
      <c r="A29" s="2" t="s">
        <v>32</v>
      </c>
      <c r="B29" s="18" t="n">
        <f aca="false">B8/DDM!D39</f>
        <v>6.65503076080435</v>
      </c>
    </row>
    <row r="30" customFormat="false" ht="15" hidden="false" customHeight="false" outlineLevel="0" collapsed="false">
      <c r="A30" s="2" t="s">
        <v>33</v>
      </c>
      <c r="B30" s="19" t="n">
        <f aca="false">DDM!C41/B8</f>
        <v>0.0702070460722658</v>
      </c>
    </row>
    <row r="31" customFormat="false" ht="15" hidden="false" customHeight="false" outlineLevel="0" collapsed="false">
      <c r="A31" s="2" t="s">
        <v>34</v>
      </c>
      <c r="B31" s="19" t="n">
        <f aca="false">DDM!D34/B26</f>
        <v>0.109818981450191</v>
      </c>
    </row>
    <row r="32" customFormat="false" ht="15" hidden="false" customHeight="false" outlineLevel="0" collapsed="false">
      <c r="A32" s="2" t="s">
        <v>35</v>
      </c>
      <c r="B32" s="19" t="n">
        <f aca="false">DDM!C49</f>
        <v>0.125024848558579</v>
      </c>
      <c r="C32" s="19" t="n">
        <f aca="false">DDM!E49</f>
        <v>0.136681246107614</v>
      </c>
    </row>
    <row r="33" customFormat="false" ht="15" hidden="false" customHeight="false" outlineLevel="0" collapsed="false">
      <c r="A33" s="2" t="s">
        <v>36</v>
      </c>
      <c r="B33" s="19" t="n">
        <f aca="false">Cost_of_Equity!B9</f>
        <v>0.1179345</v>
      </c>
    </row>
    <row r="34" customFormat="false" ht="15" hidden="false" customHeight="false" outlineLevel="0" collapsed="false">
      <c r="A34" s="2" t="s">
        <v>37</v>
      </c>
      <c r="B34" s="19" t="n">
        <f aca="false">Cost_of_Equity!B14</f>
        <v>0.159420550933767</v>
      </c>
    </row>
    <row r="35" customFormat="false" ht="15" hidden="false" customHeight="false" outlineLevel="0" collapsed="false">
      <c r="A35" s="2" t="s">
        <v>38</v>
      </c>
      <c r="B35" s="19" t="n">
        <f aca="false">Data!$B$29</f>
        <v>0.13</v>
      </c>
      <c r="C35" s="20" t="n">
        <f aca="false">Data!$B$30</f>
        <v>0.1043</v>
      </c>
    </row>
    <row r="36" customFormat="false" ht="15" hidden="false" customHeight="false" outlineLevel="0" collapsed="false">
      <c r="A36" s="2" t="s">
        <v>39</v>
      </c>
      <c r="B36" s="2" t="s">
        <v>40</v>
      </c>
    </row>
    <row r="38" customFormat="false" ht="15" hidden="false" customHeight="false" outlineLevel="0" collapsed="false">
      <c r="A38" s="4" t="s">
        <v>41</v>
      </c>
      <c r="B38" s="21" t="s">
        <v>42</v>
      </c>
    </row>
    <row r="39" customFormat="false" ht="15" hidden="false" customHeight="false" outlineLevel="0" collapsed="false">
      <c r="A39" s="4" t="s">
        <v>43</v>
      </c>
      <c r="B39" s="2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92"/>
    <col collapsed="false" customWidth="true" hidden="false" outlineLevel="0" max="7" min="7" style="0" width="7"/>
  </cols>
  <sheetData>
    <row r="1" customFormat="false" ht="15" hidden="false" customHeight="false" outlineLevel="0" collapsed="false">
      <c r="A1" s="22" t="s">
        <v>45</v>
      </c>
      <c r="B1" s="23" t="s">
        <v>46</v>
      </c>
      <c r="C1" s="23" t="s">
        <v>47</v>
      </c>
      <c r="D1" s="23" t="s">
        <v>48</v>
      </c>
      <c r="E1" s="23" t="s">
        <v>49</v>
      </c>
      <c r="F1" s="23" t="s">
        <v>50</v>
      </c>
      <c r="G1" s="23" t="s">
        <v>51</v>
      </c>
    </row>
    <row r="2" customFormat="false" ht="15" hidden="false" customHeight="false" outlineLevel="0" collapsed="false">
      <c r="A2" s="2" t="s">
        <v>52</v>
      </c>
      <c r="B2" s="24" t="n">
        <v>83.52</v>
      </c>
      <c r="C2" s="2" t="s">
        <v>53</v>
      </c>
      <c r="D2" s="2" t="s">
        <v>54</v>
      </c>
      <c r="E2" s="25" t="n">
        <v>46322</v>
      </c>
      <c r="F2" s="21" t="s">
        <v>55</v>
      </c>
      <c r="G2" s="26" t="s">
        <v>56</v>
      </c>
    </row>
    <row r="3" customFormat="false" ht="15" hidden="false" customHeight="false" outlineLevel="0" collapsed="false">
      <c r="A3" s="27" t="s">
        <v>57</v>
      </c>
      <c r="B3" s="28" t="n">
        <v>1100.1</v>
      </c>
      <c r="C3" s="27" t="s">
        <v>58</v>
      </c>
      <c r="D3" s="27"/>
      <c r="E3" s="29" t="n">
        <v>46265</v>
      </c>
      <c r="F3" s="30" t="s">
        <v>59</v>
      </c>
      <c r="G3" s="31" t="s">
        <v>60</v>
      </c>
    </row>
    <row r="4" customFormat="false" ht="15" hidden="false" customHeight="false" outlineLevel="0" collapsed="false">
      <c r="A4" s="2" t="s">
        <v>61</v>
      </c>
      <c r="B4" s="32" t="n">
        <v>1100</v>
      </c>
      <c r="C4" s="2" t="s">
        <v>58</v>
      </c>
      <c r="D4" s="2"/>
      <c r="E4" s="25" t="n">
        <v>46022</v>
      </c>
      <c r="F4" s="21" t="s">
        <v>62</v>
      </c>
      <c r="G4" s="26" t="s">
        <v>60</v>
      </c>
    </row>
    <row r="5" customFormat="false" ht="15" hidden="false" customHeight="false" outlineLevel="0" collapsed="false">
      <c r="A5" s="27" t="s">
        <v>63</v>
      </c>
      <c r="B5" s="27" t="s">
        <v>64</v>
      </c>
      <c r="C5" s="27"/>
      <c r="D5" s="27"/>
      <c r="E5" s="29"/>
      <c r="F5" s="30" t="s">
        <v>65</v>
      </c>
      <c r="G5" s="31" t="s">
        <v>60</v>
      </c>
    </row>
    <row r="6" customFormat="false" ht="15" hidden="false" customHeight="false" outlineLevel="0" collapsed="false">
      <c r="A6" s="2" t="s">
        <v>66</v>
      </c>
      <c r="B6" s="2" t="s">
        <v>67</v>
      </c>
      <c r="C6" s="2"/>
      <c r="D6" s="2"/>
      <c r="E6" s="25"/>
      <c r="F6" s="21" t="s">
        <v>68</v>
      </c>
      <c r="G6" s="26" t="s">
        <v>60</v>
      </c>
    </row>
    <row r="7" customFormat="false" ht="15" hidden="false" customHeight="false" outlineLevel="0" collapsed="false">
      <c r="A7" s="27" t="s">
        <v>69</v>
      </c>
      <c r="B7" s="33" t="n">
        <v>78.83</v>
      </c>
      <c r="C7" s="27" t="s">
        <v>53</v>
      </c>
      <c r="D7" s="27" t="s">
        <v>54</v>
      </c>
      <c r="E7" s="29" t="n">
        <v>46322</v>
      </c>
      <c r="F7" s="30" t="s">
        <v>70</v>
      </c>
      <c r="G7" s="31" t="s">
        <v>56</v>
      </c>
    </row>
    <row r="8" customFormat="false" ht="15" hidden="false" customHeight="false" outlineLevel="0" collapsed="false">
      <c r="A8" s="2" t="s">
        <v>71</v>
      </c>
      <c r="B8" s="24" t="n">
        <v>113.82</v>
      </c>
      <c r="C8" s="2" t="s">
        <v>53</v>
      </c>
      <c r="D8" s="2" t="s">
        <v>54</v>
      </c>
      <c r="E8" s="25" t="n">
        <v>46322</v>
      </c>
      <c r="F8" s="21" t="s">
        <v>72</v>
      </c>
      <c r="G8" s="26" t="s">
        <v>56</v>
      </c>
    </row>
    <row r="9" customFormat="false" ht="15" hidden="false" customHeight="false" outlineLevel="0" collapsed="false">
      <c r="A9" s="27" t="s">
        <v>73</v>
      </c>
      <c r="B9" s="34" t="n">
        <v>1.37</v>
      </c>
      <c r="C9" s="27"/>
      <c r="D9" s="27"/>
      <c r="E9" s="29" t="n">
        <v>46199</v>
      </c>
      <c r="F9" s="30" t="s">
        <v>74</v>
      </c>
      <c r="G9" s="31" t="s">
        <v>56</v>
      </c>
    </row>
    <row r="10" customFormat="false" ht="15" hidden="false" customHeight="false" outlineLevel="0" collapsed="false">
      <c r="A10" s="2" t="s">
        <v>75</v>
      </c>
      <c r="B10" s="35" t="n">
        <v>0.0493</v>
      </c>
      <c r="C10" s="2" t="s">
        <v>76</v>
      </c>
      <c r="D10" s="2"/>
      <c r="E10" s="25" t="n">
        <v>46321</v>
      </c>
      <c r="F10" s="21" t="s">
        <v>77</v>
      </c>
      <c r="G10" s="26" t="s">
        <v>56</v>
      </c>
    </row>
    <row r="11" customFormat="false" ht="15" hidden="false" customHeight="false" outlineLevel="0" collapsed="false">
      <c r="A11" s="27" t="s">
        <v>78</v>
      </c>
      <c r="B11" s="36" t="n">
        <v>0.0337</v>
      </c>
      <c r="C11" s="27" t="s">
        <v>76</v>
      </c>
      <c r="D11" s="27"/>
      <c r="E11" s="29" t="n">
        <v>46321</v>
      </c>
      <c r="F11" s="30" t="s">
        <v>79</v>
      </c>
      <c r="G11" s="31" t="s">
        <v>56</v>
      </c>
    </row>
    <row r="12" customFormat="false" ht="15" hidden="false" customHeight="false" outlineLevel="0" collapsed="false">
      <c r="A12" s="2" t="s">
        <v>80</v>
      </c>
      <c r="B12" s="35" t="n">
        <v>0.055</v>
      </c>
      <c r="C12" s="2" t="s">
        <v>76</v>
      </c>
      <c r="D12" s="2"/>
      <c r="E12" s="25" t="n">
        <v>46296</v>
      </c>
      <c r="F12" s="21" t="s">
        <v>81</v>
      </c>
      <c r="G12" s="26" t="s">
        <v>60</v>
      </c>
    </row>
    <row r="13" customFormat="false" ht="15" hidden="false" customHeight="false" outlineLevel="0" collapsed="false">
      <c r="A13" s="27" t="s">
        <v>82</v>
      </c>
      <c r="B13" s="33" t="n">
        <v>9.57</v>
      </c>
      <c r="C13" s="27" t="s">
        <v>53</v>
      </c>
      <c r="D13" s="27" t="s">
        <v>54</v>
      </c>
      <c r="E13" s="29" t="n">
        <v>45657</v>
      </c>
      <c r="F13" s="30" t="s">
        <v>83</v>
      </c>
      <c r="G13" s="31" t="s">
        <v>60</v>
      </c>
    </row>
    <row r="14" customFormat="false" ht="15" hidden="false" customHeight="false" outlineLevel="0" collapsed="false">
      <c r="A14" s="2" t="s">
        <v>84</v>
      </c>
      <c r="B14" s="24" t="n">
        <v>10.29</v>
      </c>
      <c r="C14" s="2" t="s">
        <v>53</v>
      </c>
      <c r="D14" s="2" t="s">
        <v>54</v>
      </c>
      <c r="E14" s="25" t="n">
        <v>46022</v>
      </c>
      <c r="F14" s="21" t="s">
        <v>85</v>
      </c>
      <c r="G14" s="26" t="s">
        <v>60</v>
      </c>
    </row>
    <row r="15" customFormat="false" ht="15" hidden="false" customHeight="false" outlineLevel="0" collapsed="false">
      <c r="A15" s="27" t="s">
        <v>86</v>
      </c>
      <c r="B15" s="33" t="n">
        <v>6.45</v>
      </c>
      <c r="C15" s="27" t="s">
        <v>53</v>
      </c>
      <c r="D15" s="27" t="s">
        <v>54</v>
      </c>
      <c r="E15" s="29" t="n">
        <v>46203</v>
      </c>
      <c r="F15" s="30" t="s">
        <v>87</v>
      </c>
      <c r="G15" s="31" t="s">
        <v>60</v>
      </c>
    </row>
    <row r="16" customFormat="false" ht="15" hidden="false" customHeight="false" outlineLevel="0" collapsed="false">
      <c r="A16" s="2" t="s">
        <v>88</v>
      </c>
      <c r="B16" s="24" t="n">
        <v>5.16</v>
      </c>
      <c r="C16" s="2" t="s">
        <v>53</v>
      </c>
      <c r="D16" s="2" t="s">
        <v>54</v>
      </c>
      <c r="E16" s="25" t="n">
        <v>46022</v>
      </c>
      <c r="F16" s="21" t="s">
        <v>89</v>
      </c>
      <c r="G16" s="26" t="s">
        <v>60</v>
      </c>
    </row>
    <row r="17" customFormat="false" ht="15" hidden="false" customHeight="false" outlineLevel="0" collapsed="false">
      <c r="A17" s="27" t="s">
        <v>90</v>
      </c>
      <c r="B17" s="33" t="n">
        <v>3.23</v>
      </c>
      <c r="C17" s="27" t="s">
        <v>53</v>
      </c>
      <c r="D17" s="27" t="s">
        <v>54</v>
      </c>
      <c r="E17" s="29" t="n">
        <v>46293</v>
      </c>
      <c r="F17" s="30" t="s">
        <v>91</v>
      </c>
      <c r="G17" s="31" t="s">
        <v>60</v>
      </c>
    </row>
    <row r="18" customFormat="false" ht="15" hidden="false" customHeight="false" outlineLevel="0" collapsed="false">
      <c r="A18" s="2" t="s">
        <v>92</v>
      </c>
      <c r="B18" s="37" t="n">
        <v>1150</v>
      </c>
      <c r="C18" s="2" t="s">
        <v>58</v>
      </c>
      <c r="D18" s="2" t="s">
        <v>54</v>
      </c>
      <c r="E18" s="25" t="n">
        <v>46010</v>
      </c>
      <c r="F18" s="21" t="s">
        <v>93</v>
      </c>
      <c r="G18" s="26" t="s">
        <v>60</v>
      </c>
    </row>
    <row r="19" customFormat="false" ht="15" hidden="false" customHeight="false" outlineLevel="0" collapsed="false">
      <c r="A19" s="27" t="s">
        <v>94</v>
      </c>
      <c r="B19" s="38" t="n">
        <v>711</v>
      </c>
      <c r="C19" s="27" t="s">
        <v>58</v>
      </c>
      <c r="D19" s="27" t="s">
        <v>54</v>
      </c>
      <c r="E19" s="29" t="n">
        <v>46022</v>
      </c>
      <c r="F19" s="30" t="s">
        <v>95</v>
      </c>
      <c r="G19" s="31" t="s">
        <v>60</v>
      </c>
    </row>
    <row r="20" customFormat="false" ht="15" hidden="false" customHeight="false" outlineLevel="0" collapsed="false">
      <c r="A20" s="2" t="s">
        <v>96</v>
      </c>
      <c r="B20" s="24" t="n">
        <v>93.7</v>
      </c>
      <c r="C20" s="2" t="s">
        <v>53</v>
      </c>
      <c r="D20" s="2" t="s">
        <v>54</v>
      </c>
      <c r="E20" s="25" t="n">
        <v>45657</v>
      </c>
      <c r="F20" s="21" t="s">
        <v>97</v>
      </c>
      <c r="G20" s="26" t="s">
        <v>60</v>
      </c>
    </row>
    <row r="21" customFormat="false" ht="15" hidden="false" customHeight="false" outlineLevel="0" collapsed="false">
      <c r="A21" s="27" t="s">
        <v>98</v>
      </c>
      <c r="B21" s="33" t="n">
        <v>93.5</v>
      </c>
      <c r="C21" s="27" t="s">
        <v>53</v>
      </c>
      <c r="D21" s="27" t="s">
        <v>54</v>
      </c>
      <c r="E21" s="29" t="n">
        <v>46022</v>
      </c>
      <c r="F21" s="30" t="s">
        <v>99</v>
      </c>
      <c r="G21" s="31" t="s">
        <v>60</v>
      </c>
    </row>
    <row r="22" customFormat="false" ht="15" hidden="false" customHeight="false" outlineLevel="0" collapsed="false">
      <c r="A22" s="2" t="s">
        <v>100</v>
      </c>
      <c r="B22" s="24" t="n">
        <v>98.4</v>
      </c>
      <c r="C22" s="2" t="s">
        <v>53</v>
      </c>
      <c r="D22" s="2" t="s">
        <v>54</v>
      </c>
      <c r="E22" s="25" t="n">
        <v>46203</v>
      </c>
      <c r="F22" s="21" t="s">
        <v>101</v>
      </c>
      <c r="G22" s="26" t="s">
        <v>60</v>
      </c>
    </row>
    <row r="23" customFormat="false" ht="15" hidden="false" customHeight="false" outlineLevel="0" collapsed="false">
      <c r="A23" s="27" t="s">
        <v>102</v>
      </c>
      <c r="B23" s="33" t="n">
        <v>104.3</v>
      </c>
      <c r="C23" s="27" t="s">
        <v>53</v>
      </c>
      <c r="D23" s="27" t="s">
        <v>54</v>
      </c>
      <c r="E23" s="29" t="n">
        <v>46022</v>
      </c>
      <c r="F23" s="30" t="s">
        <v>103</v>
      </c>
      <c r="G23" s="31" t="s">
        <v>60</v>
      </c>
    </row>
    <row r="24" customFormat="false" ht="15" hidden="false" customHeight="false" outlineLevel="0" collapsed="false">
      <c r="A24" s="2" t="s">
        <v>104</v>
      </c>
      <c r="B24" s="37" t="n">
        <v>100065</v>
      </c>
      <c r="C24" s="2" t="s">
        <v>58</v>
      </c>
      <c r="D24" s="2" t="s">
        <v>54</v>
      </c>
      <c r="E24" s="25" t="n">
        <v>46022</v>
      </c>
      <c r="F24" s="21" t="s">
        <v>105</v>
      </c>
      <c r="G24" s="26" t="s">
        <v>60</v>
      </c>
    </row>
    <row r="25" customFormat="false" ht="15" hidden="false" customHeight="false" outlineLevel="0" collapsed="false">
      <c r="A25" s="27" t="s">
        <v>106</v>
      </c>
      <c r="B25" s="39" t="n">
        <v>0.109</v>
      </c>
      <c r="C25" s="27" t="s">
        <v>76</v>
      </c>
      <c r="D25" s="27"/>
      <c r="E25" s="29" t="n">
        <v>45657</v>
      </c>
      <c r="F25" s="30" t="s">
        <v>107</v>
      </c>
      <c r="G25" s="31" t="s">
        <v>60</v>
      </c>
    </row>
    <row r="26" customFormat="false" ht="15" hidden="false" customHeight="false" outlineLevel="0" collapsed="false">
      <c r="A26" s="2" t="s">
        <v>108</v>
      </c>
      <c r="B26" s="40" t="n">
        <v>0.116</v>
      </c>
      <c r="C26" s="2" t="s">
        <v>76</v>
      </c>
      <c r="D26" s="2"/>
      <c r="E26" s="25" t="n">
        <v>46022</v>
      </c>
      <c r="F26" s="21" t="s">
        <v>109</v>
      </c>
      <c r="G26" s="26" t="s">
        <v>60</v>
      </c>
    </row>
    <row r="27" customFormat="false" ht="15" hidden="false" customHeight="false" outlineLevel="0" collapsed="false">
      <c r="A27" s="27" t="s">
        <v>110</v>
      </c>
      <c r="B27" s="39" t="n">
        <v>0.133</v>
      </c>
      <c r="C27" s="27" t="s">
        <v>76</v>
      </c>
      <c r="D27" s="27"/>
      <c r="E27" s="29" t="n">
        <v>46203</v>
      </c>
      <c r="F27" s="30" t="s">
        <v>111</v>
      </c>
      <c r="G27" s="31" t="s">
        <v>60</v>
      </c>
    </row>
    <row r="28" customFormat="false" ht="15" hidden="false" customHeight="false" outlineLevel="0" collapsed="false">
      <c r="A28" s="2" t="s">
        <v>112</v>
      </c>
      <c r="B28" s="40" t="n">
        <v>0.126</v>
      </c>
      <c r="C28" s="2" t="s">
        <v>76</v>
      </c>
      <c r="D28" s="2"/>
      <c r="E28" s="25" t="n">
        <v>46022</v>
      </c>
      <c r="F28" s="21" t="s">
        <v>113</v>
      </c>
      <c r="G28" s="26" t="s">
        <v>60</v>
      </c>
    </row>
    <row r="29" customFormat="false" ht="15" hidden="false" customHeight="false" outlineLevel="0" collapsed="false">
      <c r="A29" s="27" t="s">
        <v>114</v>
      </c>
      <c r="B29" s="39" t="n">
        <v>0.13</v>
      </c>
      <c r="C29" s="27" t="s">
        <v>76</v>
      </c>
      <c r="D29" s="27"/>
      <c r="E29" s="29" t="n">
        <v>46203</v>
      </c>
      <c r="F29" s="30" t="s">
        <v>115</v>
      </c>
      <c r="G29" s="31" t="s">
        <v>60</v>
      </c>
    </row>
    <row r="30" customFormat="false" ht="15" hidden="false" customHeight="false" outlineLevel="0" collapsed="false">
      <c r="A30" s="2" t="s">
        <v>116</v>
      </c>
      <c r="B30" s="35" t="n">
        <v>0.1043</v>
      </c>
      <c r="C30" s="2" t="s">
        <v>76</v>
      </c>
      <c r="D30" s="2"/>
      <c r="E30" s="25" t="n">
        <v>46203</v>
      </c>
      <c r="F30" s="21" t="s">
        <v>117</v>
      </c>
      <c r="G30" s="26" t="s">
        <v>60</v>
      </c>
    </row>
    <row r="31" customFormat="false" ht="15" hidden="false" customHeight="false" outlineLevel="0" collapsed="false">
      <c r="A31" s="27" t="s">
        <v>118</v>
      </c>
      <c r="B31" s="39" t="n">
        <v>0.044</v>
      </c>
      <c r="C31" s="27" t="s">
        <v>76</v>
      </c>
      <c r="D31" s="27"/>
      <c r="E31" s="29" t="n">
        <v>46203</v>
      </c>
      <c r="F31" s="30" t="s">
        <v>119</v>
      </c>
      <c r="G31" s="31" t="s">
        <v>60</v>
      </c>
    </row>
    <row r="32" customFormat="false" ht="15" hidden="false" customHeight="false" outlineLevel="0" collapsed="false">
      <c r="A32" s="2" t="s">
        <v>120</v>
      </c>
      <c r="B32" s="41" t="n">
        <v>1.49</v>
      </c>
      <c r="C32" s="2" t="s">
        <v>76</v>
      </c>
      <c r="D32" s="2"/>
      <c r="E32" s="25" t="n">
        <v>46203</v>
      </c>
      <c r="F32" s="21" t="s">
        <v>121</v>
      </c>
      <c r="G32" s="26" t="s">
        <v>60</v>
      </c>
    </row>
    <row r="33" customFormat="false" ht="15" hidden="false" customHeight="false" outlineLevel="0" collapsed="false">
      <c r="A33" s="27" t="s">
        <v>122</v>
      </c>
      <c r="B33" s="28" t="n">
        <v>779</v>
      </c>
      <c r="C33" s="27" t="s">
        <v>123</v>
      </c>
      <c r="D33" s="27" t="s">
        <v>54</v>
      </c>
      <c r="E33" s="29" t="n">
        <v>46022</v>
      </c>
      <c r="F33" s="30" t="s">
        <v>124</v>
      </c>
      <c r="G33" s="31" t="s">
        <v>60</v>
      </c>
    </row>
    <row r="34" customFormat="false" ht="15" hidden="false" customHeight="false" outlineLevel="0" collapsed="false">
      <c r="A34" s="2" t="s">
        <v>125</v>
      </c>
      <c r="B34" s="42" t="n">
        <v>39</v>
      </c>
      <c r="C34" s="2" t="s">
        <v>126</v>
      </c>
      <c r="D34" s="2"/>
      <c r="E34" s="25" t="n">
        <v>46203</v>
      </c>
      <c r="F34" s="21" t="s">
        <v>127</v>
      </c>
      <c r="G34" s="26" t="s">
        <v>60</v>
      </c>
    </row>
    <row r="35" customFormat="false" ht="15" hidden="false" customHeight="false" outlineLevel="0" collapsed="false">
      <c r="A35" s="27" t="s">
        <v>128</v>
      </c>
      <c r="B35" s="39" t="n">
        <v>0.26</v>
      </c>
      <c r="C35" s="27" t="s">
        <v>76</v>
      </c>
      <c r="D35" s="27"/>
      <c r="E35" s="29" t="n">
        <v>46266</v>
      </c>
      <c r="F35" s="30" t="s">
        <v>129</v>
      </c>
      <c r="G35" s="31" t="s">
        <v>60</v>
      </c>
    </row>
    <row r="36" customFormat="false" ht="15" hidden="false" customHeight="false" outlineLevel="0" collapsed="false">
      <c r="A36" s="2" t="s">
        <v>130</v>
      </c>
      <c r="B36" s="40" t="n">
        <v>0.104</v>
      </c>
      <c r="C36" s="2" t="s">
        <v>76</v>
      </c>
      <c r="D36" s="2"/>
      <c r="E36" s="25" t="n">
        <v>46022</v>
      </c>
      <c r="F36" s="21" t="s">
        <v>131</v>
      </c>
      <c r="G36" s="26" t="s">
        <v>60</v>
      </c>
    </row>
    <row r="37" customFormat="false" ht="15" hidden="false" customHeight="false" outlineLevel="0" collapsed="false">
      <c r="A37" s="27" t="s">
        <v>132</v>
      </c>
      <c r="B37" s="38" t="n">
        <v>20</v>
      </c>
      <c r="C37" s="27" t="s">
        <v>123</v>
      </c>
      <c r="D37" s="27" t="s">
        <v>54</v>
      </c>
      <c r="E37" s="29" t="n">
        <v>46203</v>
      </c>
      <c r="F37" s="30" t="s">
        <v>133</v>
      </c>
      <c r="G37" s="31" t="s">
        <v>60</v>
      </c>
    </row>
    <row r="38" customFormat="false" ht="15" hidden="false" customHeight="false" outlineLevel="0" collapsed="false">
      <c r="A38" s="2" t="s">
        <v>134</v>
      </c>
      <c r="B38" s="40" t="n">
        <v>0.12</v>
      </c>
      <c r="C38" s="2" t="s">
        <v>76</v>
      </c>
      <c r="D38" s="2"/>
      <c r="E38" s="25" t="n">
        <v>46227</v>
      </c>
      <c r="F38" s="21" t="s">
        <v>135</v>
      </c>
      <c r="G38" s="26" t="s">
        <v>60</v>
      </c>
    </row>
    <row r="39" customFormat="false" ht="15" hidden="false" customHeight="false" outlineLevel="0" collapsed="false">
      <c r="A39" s="27" t="s">
        <v>136</v>
      </c>
      <c r="B39" s="39" t="n">
        <v>0.13</v>
      </c>
      <c r="C39" s="27" t="s">
        <v>76</v>
      </c>
      <c r="D39" s="27"/>
      <c r="E39" s="29" t="n">
        <v>46056</v>
      </c>
      <c r="F39" s="30" t="s">
        <v>137</v>
      </c>
      <c r="G39" s="31" t="s">
        <v>60</v>
      </c>
    </row>
    <row r="40" customFormat="false" ht="15" hidden="false" customHeight="false" outlineLevel="0" collapsed="false">
      <c r="A40" s="2" t="s">
        <v>138</v>
      </c>
      <c r="B40" s="24" t="n">
        <v>118.06</v>
      </c>
      <c r="C40" s="2" t="s">
        <v>53</v>
      </c>
      <c r="D40" s="2" t="s">
        <v>54</v>
      </c>
      <c r="E40" s="25" t="n">
        <v>46295</v>
      </c>
      <c r="F40" s="21" t="s">
        <v>139</v>
      </c>
      <c r="G40" s="26" t="s">
        <v>56</v>
      </c>
    </row>
    <row r="41" customFormat="false" ht="15" hidden="false" customHeight="false" outlineLevel="0" collapsed="false">
      <c r="A41" s="27" t="s">
        <v>140</v>
      </c>
      <c r="B41" s="33" t="n">
        <v>100</v>
      </c>
      <c r="C41" s="27" t="s">
        <v>53</v>
      </c>
      <c r="D41" s="27" t="s">
        <v>54</v>
      </c>
      <c r="E41" s="29" t="n">
        <v>46295</v>
      </c>
      <c r="F41" s="30" t="s">
        <v>141</v>
      </c>
      <c r="G41" s="31" t="s">
        <v>56</v>
      </c>
    </row>
    <row r="42" customFormat="false" ht="15" hidden="false" customHeight="false" outlineLevel="0" collapsed="false">
      <c r="A42" s="2" t="s">
        <v>142</v>
      </c>
      <c r="B42" s="24" t="n">
        <v>136</v>
      </c>
      <c r="C42" s="2" t="s">
        <v>53</v>
      </c>
      <c r="D42" s="2" t="s">
        <v>54</v>
      </c>
      <c r="E42" s="25" t="n">
        <v>46295</v>
      </c>
      <c r="F42" s="21" t="s">
        <v>143</v>
      </c>
      <c r="G42" s="26" t="s">
        <v>56</v>
      </c>
    </row>
    <row r="43" customFormat="false" ht="15" hidden="false" customHeight="false" outlineLevel="0" collapsed="false">
      <c r="A43" s="27" t="s">
        <v>144</v>
      </c>
      <c r="B43" s="43" t="n">
        <v>46323</v>
      </c>
      <c r="C43" s="27" t="s">
        <v>145</v>
      </c>
      <c r="D43" s="27"/>
      <c r="E43" s="29"/>
      <c r="F43" s="30" t="s">
        <v>146</v>
      </c>
      <c r="G43" s="31" t="s">
        <v>60</v>
      </c>
    </row>
    <row r="45" customFormat="false" ht="15" hidden="false" customHeight="false" outlineLevel="0" collapsed="false">
      <c r="A45" s="4" t="s">
        <v>147</v>
      </c>
    </row>
    <row r="46" customFormat="false" ht="15" hidden="false" customHeight="false" outlineLevel="0" collapsed="false">
      <c r="A46" s="21" t="s">
        <v>148</v>
      </c>
    </row>
    <row r="47" customFormat="false" ht="15" hidden="false" customHeight="false" outlineLevel="0" collapsed="false">
      <c r="A47" s="21" t="s">
        <v>149</v>
      </c>
    </row>
    <row r="48" customFormat="false" ht="15" hidden="false" customHeight="false" outlineLevel="0" collapsed="false">
      <c r="A48" s="21" t="s">
        <v>150</v>
      </c>
    </row>
    <row r="49" customFormat="false" ht="15" hidden="false" customHeight="false" outlineLevel="0" collapsed="false">
      <c r="A49" s="21" t="s">
        <v>151</v>
      </c>
    </row>
    <row r="50" customFormat="false" ht="15" hidden="false" customHeight="false" outlineLevel="0" collapsed="false">
      <c r="A50" s="21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0"/>
    <col collapsed="false" customWidth="true" hidden="false" outlineLevel="0" max="8" min="8" style="0" width="96"/>
  </cols>
  <sheetData>
    <row r="1" customFormat="false" ht="16.15" hidden="false" customHeight="false" outlineLevel="0" collapsed="false">
      <c r="B1" s="44" t="s">
        <v>153</v>
      </c>
    </row>
    <row r="3" customFormat="false" ht="15" hidden="false" customHeight="false" outlineLevel="0" collapsed="false">
      <c r="A3" s="22" t="s">
        <v>154</v>
      </c>
      <c r="B3" s="23" t="s">
        <v>155</v>
      </c>
      <c r="C3" s="23" t="s">
        <v>156</v>
      </c>
      <c r="D3" s="23" t="s">
        <v>157</v>
      </c>
      <c r="E3" s="23" t="s">
        <v>158</v>
      </c>
      <c r="F3" s="23" t="s">
        <v>159</v>
      </c>
      <c r="G3" s="23" t="s">
        <v>160</v>
      </c>
      <c r="H3" s="23" t="s">
        <v>161</v>
      </c>
    </row>
    <row r="4" customFormat="false" ht="15" hidden="false" customHeight="false" outlineLevel="0" collapsed="false">
      <c r="A4" s="8" t="s">
        <v>162</v>
      </c>
    </row>
    <row r="5" customFormat="false" ht="15" hidden="false" customHeight="false" outlineLevel="0" collapsed="false">
      <c r="A5" s="2" t="s">
        <v>163</v>
      </c>
      <c r="B5" s="45" t="n">
        <v>2.01</v>
      </c>
      <c r="H5" s="21" t="s">
        <v>164</v>
      </c>
    </row>
    <row r="6" customFormat="false" ht="15" hidden="false" customHeight="false" outlineLevel="0" collapsed="false">
      <c r="A6" s="2" t="s">
        <v>165</v>
      </c>
      <c r="B6" s="45" t="n">
        <v>2</v>
      </c>
      <c r="H6" s="21" t="s">
        <v>166</v>
      </c>
    </row>
    <row r="7" customFormat="false" ht="15" hidden="false" customHeight="false" outlineLevel="0" collapsed="false">
      <c r="A7" s="2" t="s">
        <v>167</v>
      </c>
      <c r="B7" s="45" t="n">
        <v>1.9</v>
      </c>
      <c r="H7" s="21" t="s">
        <v>168</v>
      </c>
    </row>
    <row r="8" customFormat="false" ht="15" hidden="false" customHeight="false" outlineLevel="0" collapsed="false">
      <c r="A8" s="2" t="s">
        <v>169</v>
      </c>
      <c r="B8" s="46" t="n">
        <v>-450</v>
      </c>
      <c r="H8" s="21" t="s">
        <v>170</v>
      </c>
    </row>
    <row r="9" customFormat="false" ht="15" hidden="false" customHeight="false" outlineLevel="0" collapsed="false">
      <c r="A9" s="8" t="s">
        <v>171</v>
      </c>
    </row>
    <row r="10" customFormat="false" ht="15" hidden="false" customHeight="false" outlineLevel="0" collapsed="false">
      <c r="A10" s="2" t="s">
        <v>172</v>
      </c>
      <c r="B10" s="19" t="n">
        <f aca="false">DDM!C5/DDM!B5-1</f>
        <v>0.0379896694988209</v>
      </c>
      <c r="C10" s="10" t="n">
        <v>0.045</v>
      </c>
      <c r="D10" s="10" t="n">
        <v>0.045</v>
      </c>
      <c r="E10" s="10" t="n">
        <v>0.04</v>
      </c>
      <c r="F10" s="10" t="n">
        <v>0.035</v>
      </c>
      <c r="G10" s="10" t="n">
        <v>0.035</v>
      </c>
      <c r="H10" s="21" t="s">
        <v>173</v>
      </c>
    </row>
    <row r="11" customFormat="false" ht="15" hidden="false" customHeight="false" outlineLevel="0" collapsed="false">
      <c r="A11" s="2" t="s">
        <v>174</v>
      </c>
      <c r="B11" s="19" t="n">
        <f aca="false">DDM!C6/DDM!B6-1</f>
        <v>0.132053687400779</v>
      </c>
      <c r="C11" s="10" t="n">
        <v>0.06</v>
      </c>
      <c r="D11" s="10" t="n">
        <v>0.06</v>
      </c>
      <c r="E11" s="10" t="n">
        <v>0.05</v>
      </c>
      <c r="F11" s="10" t="n">
        <v>0.05</v>
      </c>
      <c r="G11" s="10" t="n">
        <v>0.045</v>
      </c>
      <c r="H11" s="21" t="s">
        <v>175</v>
      </c>
    </row>
    <row r="12" customFormat="false" ht="15" hidden="false" customHeight="false" outlineLevel="0" collapsed="false">
      <c r="A12" s="2" t="s">
        <v>176</v>
      </c>
      <c r="B12" s="19" t="n">
        <f aca="false">DDM!C7/DDM!B7-1</f>
        <v>0.0525661946623151</v>
      </c>
      <c r="C12" s="10" t="n">
        <v>0.04</v>
      </c>
      <c r="D12" s="10" t="n">
        <v>0.04</v>
      </c>
      <c r="E12" s="10" t="n">
        <v>0.04</v>
      </c>
      <c r="F12" s="10" t="n">
        <v>0.035</v>
      </c>
      <c r="G12" s="10" t="n">
        <v>0.035</v>
      </c>
      <c r="H12" s="21" t="s">
        <v>177</v>
      </c>
    </row>
    <row r="13" customFormat="false" ht="15" hidden="false" customHeight="false" outlineLevel="0" collapsed="false">
      <c r="A13" s="2" t="s">
        <v>178</v>
      </c>
      <c r="B13" s="16" t="n">
        <f aca="false">DDM!C8</f>
        <v>-546</v>
      </c>
      <c r="C13" s="46" t="n">
        <v>-500</v>
      </c>
      <c r="D13" s="46" t="n">
        <v>-500</v>
      </c>
      <c r="E13" s="46" t="n">
        <v>-500</v>
      </c>
      <c r="F13" s="46" t="n">
        <v>-500</v>
      </c>
      <c r="G13" s="46" t="n">
        <v>-500</v>
      </c>
      <c r="H13" s="21" t="s">
        <v>179</v>
      </c>
    </row>
    <row r="14" customFormat="false" ht="15" hidden="false" customHeight="false" outlineLevel="0" collapsed="false">
      <c r="A14" s="8" t="s">
        <v>180</v>
      </c>
    </row>
    <row r="15" customFormat="false" ht="15" hidden="false" customHeight="false" outlineLevel="0" collapsed="false">
      <c r="A15" s="2" t="s">
        <v>181</v>
      </c>
      <c r="B15" s="10" t="n">
        <v>0.595</v>
      </c>
      <c r="C15" s="10" t="n">
        <v>0.58</v>
      </c>
      <c r="D15" s="10" t="n">
        <v>0.563</v>
      </c>
      <c r="E15" s="10" t="n">
        <v>0.553</v>
      </c>
      <c r="F15" s="10" t="n">
        <v>0.545</v>
      </c>
      <c r="G15" s="10" t="n">
        <v>0.54</v>
      </c>
      <c r="H15" s="21" t="s">
        <v>182</v>
      </c>
    </row>
    <row r="16" customFormat="false" ht="15" hidden="false" customHeight="false" outlineLevel="0" collapsed="false">
      <c r="A16" s="2" t="s">
        <v>183</v>
      </c>
      <c r="B16" s="46" t="n">
        <v>960</v>
      </c>
      <c r="H16" s="21" t="s">
        <v>184</v>
      </c>
    </row>
    <row r="17" customFormat="false" ht="15" hidden="false" customHeight="false" outlineLevel="0" collapsed="false">
      <c r="A17" s="2" t="s">
        <v>185</v>
      </c>
      <c r="C17" s="10" t="n">
        <v>0.035</v>
      </c>
      <c r="D17" s="10" t="n">
        <v>0.035</v>
      </c>
      <c r="E17" s="10" t="n">
        <v>0.035</v>
      </c>
      <c r="F17" s="10" t="n">
        <v>0.035</v>
      </c>
      <c r="G17" s="10" t="n">
        <v>0.035</v>
      </c>
      <c r="H17" s="21" t="s">
        <v>186</v>
      </c>
    </row>
    <row r="18" customFormat="false" ht="15" hidden="false" customHeight="false" outlineLevel="0" collapsed="false">
      <c r="A18" s="2" t="s">
        <v>187</v>
      </c>
      <c r="B18" s="47" t="n">
        <v>39</v>
      </c>
      <c r="C18" s="47" t="n">
        <v>40</v>
      </c>
      <c r="D18" s="47" t="n">
        <v>40</v>
      </c>
      <c r="E18" s="47" t="n">
        <v>40</v>
      </c>
      <c r="F18" s="47" t="n">
        <v>40</v>
      </c>
      <c r="G18" s="47" t="n">
        <v>40</v>
      </c>
      <c r="H18" s="21" t="s">
        <v>188</v>
      </c>
    </row>
    <row r="19" customFormat="false" ht="15" hidden="false" customHeight="false" outlineLevel="0" collapsed="false">
      <c r="A19" s="2" t="s">
        <v>189</v>
      </c>
      <c r="B19" s="46" t="n">
        <v>-444</v>
      </c>
      <c r="C19" s="46" t="n">
        <v>-100</v>
      </c>
      <c r="D19" s="46" t="n">
        <v>-100</v>
      </c>
      <c r="E19" s="46" t="n">
        <v>-100</v>
      </c>
      <c r="F19" s="46" t="n">
        <v>-100</v>
      </c>
      <c r="G19" s="46" t="n">
        <v>-100</v>
      </c>
      <c r="H19" s="21" t="s">
        <v>190</v>
      </c>
    </row>
    <row r="20" customFormat="false" ht="15" hidden="false" customHeight="false" outlineLevel="0" collapsed="false">
      <c r="A20" s="2" t="s">
        <v>191</v>
      </c>
      <c r="B20" s="46" t="n">
        <v>1835</v>
      </c>
      <c r="C20" s="46" t="n">
        <v>850</v>
      </c>
      <c r="D20" s="46" t="n">
        <v>850</v>
      </c>
      <c r="E20" s="46" t="n">
        <v>850</v>
      </c>
      <c r="F20" s="46" t="n">
        <v>850</v>
      </c>
      <c r="G20" s="46" t="n">
        <v>850</v>
      </c>
      <c r="H20" s="21" t="s">
        <v>192</v>
      </c>
    </row>
    <row r="21" customFormat="false" ht="15" hidden="false" customHeight="false" outlineLevel="0" collapsed="false">
      <c r="A21" s="2" t="s">
        <v>193</v>
      </c>
      <c r="B21" s="10" t="n">
        <v>0.28</v>
      </c>
      <c r="C21" s="10" t="n">
        <v>0.275</v>
      </c>
      <c r="D21" s="10" t="n">
        <v>0.27</v>
      </c>
      <c r="E21" s="10" t="n">
        <v>0.27</v>
      </c>
      <c r="F21" s="10" t="n">
        <v>0.27</v>
      </c>
      <c r="G21" s="10" t="n">
        <v>0.27</v>
      </c>
      <c r="H21" s="21" t="s">
        <v>194</v>
      </c>
    </row>
    <row r="22" customFormat="false" ht="15" hidden="false" customHeight="false" outlineLevel="0" collapsed="false">
      <c r="A22" s="2" t="s">
        <v>195</v>
      </c>
      <c r="B22" s="46" t="n">
        <v>520</v>
      </c>
      <c r="C22" s="46" t="n">
        <v>541</v>
      </c>
      <c r="D22" s="46" t="n">
        <v>562</v>
      </c>
      <c r="E22" s="46" t="n">
        <v>585</v>
      </c>
      <c r="F22" s="46" t="n">
        <v>608</v>
      </c>
      <c r="G22" s="46" t="n">
        <v>633</v>
      </c>
      <c r="H22" s="21" t="s">
        <v>196</v>
      </c>
    </row>
    <row r="23" customFormat="false" ht="15" hidden="false" customHeight="false" outlineLevel="0" collapsed="false">
      <c r="A23" s="2" t="s">
        <v>197</v>
      </c>
      <c r="B23" s="46" t="n">
        <v>930</v>
      </c>
      <c r="C23" s="46" t="n">
        <v>950</v>
      </c>
      <c r="D23" s="46" t="n">
        <v>950</v>
      </c>
      <c r="E23" s="46" t="n">
        <v>950</v>
      </c>
      <c r="F23" s="46" t="n">
        <v>950</v>
      </c>
      <c r="G23" s="46" t="n">
        <v>950</v>
      </c>
      <c r="H23" s="21" t="s">
        <v>198</v>
      </c>
    </row>
    <row r="24" customFormat="false" ht="15" hidden="false" customHeight="false" outlineLevel="0" collapsed="false">
      <c r="A24" s="8" t="s">
        <v>199</v>
      </c>
    </row>
    <row r="25" customFormat="false" ht="15" hidden="false" customHeight="false" outlineLevel="0" collapsed="false">
      <c r="A25" s="2" t="s">
        <v>200</v>
      </c>
      <c r="B25" s="48" t="n">
        <v>795</v>
      </c>
      <c r="H25" s="21" t="s">
        <v>201</v>
      </c>
    </row>
    <row r="26" customFormat="false" ht="15" hidden="false" customHeight="false" outlineLevel="0" collapsed="false">
      <c r="A26" s="2" t="s">
        <v>202</v>
      </c>
      <c r="C26" s="10" t="n">
        <v>0.035</v>
      </c>
      <c r="D26" s="10" t="n">
        <v>0.03</v>
      </c>
      <c r="E26" s="10" t="n">
        <v>0.03</v>
      </c>
      <c r="F26" s="10" t="n">
        <v>0.03</v>
      </c>
      <c r="G26" s="10" t="n">
        <v>0.03</v>
      </c>
      <c r="H26" s="21" t="s">
        <v>203</v>
      </c>
    </row>
    <row r="27" customFormat="false" ht="15" hidden="false" customHeight="false" outlineLevel="0" collapsed="false">
      <c r="A27" s="2" t="s">
        <v>204</v>
      </c>
      <c r="B27" s="10" t="n">
        <v>0.13</v>
      </c>
      <c r="C27" s="10" t="n">
        <v>0.13</v>
      </c>
      <c r="D27" s="10" t="n">
        <v>0.13</v>
      </c>
      <c r="E27" s="10" t="n">
        <v>0.13</v>
      </c>
      <c r="F27" s="10" t="n">
        <v>0.13</v>
      </c>
      <c r="G27" s="10" t="n">
        <v>0.13</v>
      </c>
      <c r="H27" s="21" t="s">
        <v>205</v>
      </c>
    </row>
    <row r="28" customFormat="false" ht="15" hidden="false" customHeight="false" outlineLevel="0" collapsed="false">
      <c r="A28" s="2" t="s">
        <v>206</v>
      </c>
      <c r="B28" s="10" t="n">
        <v>0.6</v>
      </c>
      <c r="H28" s="21" t="s">
        <v>207</v>
      </c>
    </row>
    <row r="29" customFormat="false" ht="15" hidden="false" customHeight="false" outlineLevel="0" collapsed="false">
      <c r="A29" s="2" t="s">
        <v>208</v>
      </c>
      <c r="B29" s="10" t="n">
        <v>0.5</v>
      </c>
      <c r="C29" s="10" t="n">
        <v>0.5</v>
      </c>
      <c r="D29" s="10" t="n">
        <v>0.5</v>
      </c>
      <c r="E29" s="10" t="n">
        <v>0.5</v>
      </c>
      <c r="F29" s="10" t="n">
        <v>0.5</v>
      </c>
      <c r="G29" s="10" t="n">
        <v>0.5</v>
      </c>
      <c r="H29" s="21" t="s">
        <v>209</v>
      </c>
    </row>
    <row r="30" customFormat="false" ht="15" hidden="false" customHeight="false" outlineLevel="0" collapsed="false">
      <c r="A30" s="2" t="s">
        <v>210</v>
      </c>
      <c r="B30" s="17" t="n">
        <f aca="false">Data!$B$2/Data!$B$22</f>
        <v>0.848780487804878</v>
      </c>
      <c r="H30" s="21" t="s">
        <v>211</v>
      </c>
    </row>
    <row r="31" customFormat="false" ht="15" hidden="false" customHeight="false" outlineLevel="0" collapsed="false">
      <c r="A31" s="8" t="s">
        <v>212</v>
      </c>
    </row>
    <row r="32" customFormat="false" ht="15" hidden="false" customHeight="false" outlineLevel="0" collapsed="false">
      <c r="A32" s="2" t="s">
        <v>213</v>
      </c>
      <c r="B32" s="3" t="n">
        <v>46387</v>
      </c>
      <c r="H32" s="21" t="s">
        <v>214</v>
      </c>
    </row>
    <row r="33" customFormat="false" ht="15" hidden="false" customHeight="false" outlineLevel="0" collapsed="false">
      <c r="A33" s="2" t="s">
        <v>215</v>
      </c>
      <c r="B33" s="10" t="n">
        <v>0.135</v>
      </c>
      <c r="H33" s="21" t="s">
        <v>216</v>
      </c>
    </row>
    <row r="34" customFormat="false" ht="15" hidden="false" customHeight="false" outlineLevel="0" collapsed="false">
      <c r="A34" s="2" t="s">
        <v>217</v>
      </c>
      <c r="B34" s="10" t="n">
        <v>0.02</v>
      </c>
      <c r="H34" s="21" t="s">
        <v>218</v>
      </c>
    </row>
    <row r="35" customFormat="false" ht="15" hidden="false" customHeight="false" outlineLevel="0" collapsed="false">
      <c r="A35" s="2" t="s">
        <v>219</v>
      </c>
      <c r="B35" s="5" t="n">
        <f aca="false">Data!$B$17</f>
        <v>3.23</v>
      </c>
      <c r="H35" s="21" t="s">
        <v>220</v>
      </c>
    </row>
    <row r="37" customFormat="false" ht="15" hidden="false" customHeight="false" outlineLevel="0" collapsed="false">
      <c r="A37" s="21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2"/>
    <col collapsed="false" customWidth="true" hidden="false" outlineLevel="0" max="6" min="6" style="0" width="70"/>
  </cols>
  <sheetData>
    <row r="1" customFormat="false" ht="16.15" hidden="false" customHeight="false" outlineLevel="0" collapsed="false">
      <c r="B1" s="44" t="s">
        <v>222</v>
      </c>
    </row>
    <row r="3" customFormat="false" ht="15" hidden="false" customHeight="false" outlineLevel="0" collapsed="false">
      <c r="A3" s="22" t="s">
        <v>223</v>
      </c>
      <c r="B3" s="23" t="s">
        <v>224</v>
      </c>
      <c r="C3" s="23" t="s">
        <v>225</v>
      </c>
      <c r="D3" s="23" t="s">
        <v>226</v>
      </c>
      <c r="E3" s="23" t="s">
        <v>227</v>
      </c>
      <c r="F3" s="23" t="s">
        <v>228</v>
      </c>
    </row>
    <row r="4" customFormat="false" ht="15" hidden="false" customHeight="false" outlineLevel="0" collapsed="false">
      <c r="A4" s="2" t="s">
        <v>229</v>
      </c>
      <c r="B4" s="37" t="n">
        <v>48831</v>
      </c>
      <c r="C4" s="37" t="n">
        <v>51223</v>
      </c>
      <c r="D4" s="37" t="n">
        <v>25541</v>
      </c>
      <c r="E4" s="37" t="n">
        <v>28147</v>
      </c>
      <c r="F4" s="21" t="s">
        <v>230</v>
      </c>
    </row>
    <row r="5" customFormat="false" ht="15" hidden="false" customHeight="false" outlineLevel="0" collapsed="false">
      <c r="A5" s="2" t="s">
        <v>231</v>
      </c>
      <c r="B5" s="37" t="n">
        <v>-30193</v>
      </c>
      <c r="C5" s="37" t="n">
        <v>-31374</v>
      </c>
      <c r="D5" s="37" t="n">
        <v>-15489</v>
      </c>
      <c r="E5" s="37" t="n">
        <v>-16696</v>
      </c>
      <c r="F5" s="21" t="s">
        <v>232</v>
      </c>
    </row>
    <row r="6" customFormat="false" ht="15" hidden="false" customHeight="false" outlineLevel="0" collapsed="false">
      <c r="A6" s="13" t="s">
        <v>233</v>
      </c>
      <c r="B6" s="49" t="n">
        <f aca="false">B4+B5</f>
        <v>18638</v>
      </c>
      <c r="C6" s="49" t="n">
        <f aca="false">C4+C5</f>
        <v>19849</v>
      </c>
      <c r="D6" s="49" t="n">
        <f aca="false">D4+D5</f>
        <v>10052</v>
      </c>
      <c r="E6" s="49" t="n">
        <f aca="false">E4+E5</f>
        <v>11451</v>
      </c>
    </row>
    <row r="7" customFormat="false" ht="15" hidden="false" customHeight="false" outlineLevel="0" collapsed="false">
      <c r="A7" s="2" t="s">
        <v>234</v>
      </c>
      <c r="B7" s="37" t="n">
        <v>-2999</v>
      </c>
      <c r="C7" s="37" t="n">
        <v>-3350</v>
      </c>
      <c r="D7" s="37" t="n">
        <v>-1650</v>
      </c>
      <c r="E7" s="37" t="n">
        <v>-1871</v>
      </c>
      <c r="F7" s="21" t="s">
        <v>235</v>
      </c>
    </row>
    <row r="8" customFormat="false" ht="15" hidden="false" customHeight="false" outlineLevel="0" collapsed="false">
      <c r="A8" s="2" t="s">
        <v>236</v>
      </c>
      <c r="B8" s="37" t="n">
        <v>-202</v>
      </c>
      <c r="C8" s="37" t="n">
        <v>-203</v>
      </c>
      <c r="D8" s="37" t="n">
        <v>-115</v>
      </c>
      <c r="E8" s="37" t="n">
        <v>-344</v>
      </c>
      <c r="F8" s="21" t="s">
        <v>237</v>
      </c>
    </row>
    <row r="9" customFormat="false" ht="15" hidden="false" customHeight="false" outlineLevel="0" collapsed="false">
      <c r="A9" s="13" t="s">
        <v>238</v>
      </c>
      <c r="B9" s="49" t="n">
        <f aca="false">B6+B7+B8</f>
        <v>15437</v>
      </c>
      <c r="C9" s="49" t="n">
        <f aca="false">C6+C7+C8</f>
        <v>16296</v>
      </c>
      <c r="D9" s="49" t="n">
        <f aca="false">D6+D7+D8</f>
        <v>8287</v>
      </c>
      <c r="E9" s="49" t="n">
        <f aca="false">E6+E7+E8</f>
        <v>9236</v>
      </c>
    </row>
    <row r="10" customFormat="false" ht="15" hidden="false" customHeight="false" outlineLevel="0" collapsed="false">
      <c r="A10" s="2" t="s">
        <v>239</v>
      </c>
      <c r="B10" s="37" t="n">
        <v>751</v>
      </c>
      <c r="C10" s="37" t="n">
        <v>769</v>
      </c>
      <c r="D10" s="37" t="n">
        <v>510</v>
      </c>
      <c r="E10" s="37" t="n">
        <v>1435</v>
      </c>
      <c r="F10" s="21" t="s">
        <v>240</v>
      </c>
    </row>
    <row r="11" customFormat="false" ht="15" hidden="false" customHeight="false" outlineLevel="0" collapsed="false">
      <c r="A11" s="13" t="s">
        <v>241</v>
      </c>
      <c r="B11" s="49" t="n">
        <f aca="false">B9+B10</f>
        <v>16188</v>
      </c>
      <c r="C11" s="49" t="n">
        <f aca="false">C9+C10</f>
        <v>17065</v>
      </c>
      <c r="D11" s="49" t="n">
        <f aca="false">D9+D10</f>
        <v>8797</v>
      </c>
      <c r="E11" s="49" t="n">
        <f aca="false">E9+E10</f>
        <v>10671</v>
      </c>
    </row>
    <row r="12" customFormat="false" ht="15" hidden="false" customHeight="false" outlineLevel="0" collapsed="false">
      <c r="A12" s="2" t="s">
        <v>242</v>
      </c>
      <c r="B12" s="37" t="n">
        <v>-4001</v>
      </c>
      <c r="C12" s="37" t="n">
        <v>-4207</v>
      </c>
      <c r="D12" s="37" t="n">
        <v>-2288</v>
      </c>
      <c r="E12" s="37" t="n">
        <v>-2871</v>
      </c>
    </row>
    <row r="13" customFormat="false" ht="15" hidden="false" customHeight="false" outlineLevel="0" collapsed="false">
      <c r="A13" s="2" t="s">
        <v>243</v>
      </c>
      <c r="B13" s="37" t="n">
        <v>-499</v>
      </c>
      <c r="C13" s="37" t="n">
        <v>-633</v>
      </c>
      <c r="D13" s="37" t="n">
        <v>-300</v>
      </c>
      <c r="E13" s="37" t="n">
        <v>-238</v>
      </c>
      <c r="F13" s="21" t="s">
        <v>244</v>
      </c>
    </row>
    <row r="14" customFormat="false" ht="15" hidden="false" customHeight="false" outlineLevel="0" collapsed="false">
      <c r="A14" s="13" t="s">
        <v>245</v>
      </c>
      <c r="B14" s="49" t="n">
        <f aca="false">B11+B12+B13</f>
        <v>11688</v>
      </c>
      <c r="C14" s="49" t="n">
        <f aca="false">C11+C12+C13</f>
        <v>12225</v>
      </c>
      <c r="D14" s="49" t="n">
        <f aca="false">D11+D12+D13</f>
        <v>6209</v>
      </c>
      <c r="E14" s="49" t="n">
        <f aca="false">E11+E12+E13</f>
        <v>7562</v>
      </c>
    </row>
    <row r="15" customFormat="false" ht="15" hidden="false" customHeight="false" outlineLevel="0" collapsed="false">
      <c r="A15" s="11" t="s">
        <v>246</v>
      </c>
      <c r="B15" s="37" t="n">
        <v>11688</v>
      </c>
      <c r="C15" s="37" t="n">
        <v>12225</v>
      </c>
      <c r="D15" s="37" t="n">
        <v>6209</v>
      </c>
      <c r="E15" s="37" t="n">
        <v>7562</v>
      </c>
      <c r="F15" s="21" t="s">
        <v>247</v>
      </c>
    </row>
    <row r="16" customFormat="false" ht="15" hidden="false" customHeight="false" outlineLevel="0" collapsed="false">
      <c r="A16" s="11" t="s">
        <v>248</v>
      </c>
      <c r="B16" s="50" t="n">
        <f aca="false">B14-B15</f>
        <v>0</v>
      </c>
      <c r="C16" s="50" t="n">
        <f aca="false">C14-C15</f>
        <v>0</v>
      </c>
      <c r="D16" s="50" t="n">
        <f aca="false">D14-D15</f>
        <v>0</v>
      </c>
      <c r="E16" s="50" t="n">
        <f aca="false">E14-E15</f>
        <v>0</v>
      </c>
    </row>
    <row r="17" customFormat="false" ht="15" hidden="false" customHeight="false" outlineLevel="0" collapsed="false">
      <c r="A17" s="2" t="s">
        <v>249</v>
      </c>
      <c r="B17" s="24" t="n">
        <v>9.57</v>
      </c>
      <c r="C17" s="24" t="n">
        <v>10.29</v>
      </c>
      <c r="D17" s="24" t="n">
        <v>5.18</v>
      </c>
      <c r="E17" s="24" t="n">
        <v>6.45</v>
      </c>
      <c r="F17" s="21" t="s">
        <v>250</v>
      </c>
    </row>
    <row r="19" customFormat="false" ht="15" hidden="false" customHeight="false" outlineLevel="0" collapsed="false">
      <c r="A19" s="8" t="s">
        <v>251</v>
      </c>
    </row>
    <row r="20" customFormat="false" ht="15" hidden="false" customHeight="false" outlineLevel="0" collapsed="false">
      <c r="A20" s="2" t="s">
        <v>252</v>
      </c>
      <c r="C20" s="51" t="n">
        <f aca="false">C4/B4-1</f>
        <v>0.048985275746964</v>
      </c>
      <c r="E20" s="51" t="n">
        <f aca="false">E4/D4-1</f>
        <v>0.102032026937082</v>
      </c>
    </row>
    <row r="21" customFormat="false" ht="15" hidden="false" customHeight="false" outlineLevel="0" collapsed="false">
      <c r="A21" s="2" t="s">
        <v>181</v>
      </c>
      <c r="B21" s="51" t="n">
        <f aca="false">-B5/B4</f>
        <v>0.618316233540169</v>
      </c>
      <c r="C21" s="51" t="n">
        <f aca="false">-C5/C4</f>
        <v>0.612498291782988</v>
      </c>
      <c r="D21" s="51" t="n">
        <f aca="false">-D5/D4</f>
        <v>0.606436709604166</v>
      </c>
      <c r="E21" s="51" t="n">
        <f aca="false">-E5/E4</f>
        <v>0.593171563576935</v>
      </c>
    </row>
    <row r="22" customFormat="false" ht="15" hidden="false" customHeight="false" outlineLevel="0" collapsed="false">
      <c r="A22" s="2" t="s">
        <v>193</v>
      </c>
      <c r="B22" s="51" t="n">
        <f aca="false">-B12/B11</f>
        <v>0.247158388930072</v>
      </c>
      <c r="C22" s="51" t="n">
        <f aca="false">-C12/C11</f>
        <v>0.246527981248169</v>
      </c>
      <c r="D22" s="51" t="n">
        <f aca="false">-D12/D11</f>
        <v>0.260088666590883</v>
      </c>
      <c r="E22" s="51" t="n">
        <f aca="false">-E12/E11</f>
        <v>0.269046949676694</v>
      </c>
    </row>
    <row r="23" customFormat="false" ht="15" hidden="false" customHeight="false" outlineLevel="0" collapsed="false">
      <c r="A23" s="2" t="s">
        <v>253</v>
      </c>
      <c r="B23" s="19" t="n">
        <f aca="false">Data!$B$25</f>
        <v>0.109</v>
      </c>
      <c r="C23" s="19" t="n">
        <f aca="false">Data!$B$26</f>
        <v>0.116</v>
      </c>
      <c r="F23" s="21" t="s">
        <v>254</v>
      </c>
    </row>
    <row r="25" customFormat="false" ht="15" hidden="false" customHeight="false" outlineLevel="0" collapsed="false">
      <c r="A25" s="8" t="s">
        <v>255</v>
      </c>
    </row>
    <row r="26" customFormat="false" ht="15" hidden="false" customHeight="false" outlineLevel="0" collapsed="false">
      <c r="A26" s="22" t="s">
        <v>256</v>
      </c>
      <c r="B26" s="23" t="s">
        <v>224</v>
      </c>
      <c r="C26" s="23" t="s">
        <v>225</v>
      </c>
      <c r="D26" s="23"/>
      <c r="E26" s="23" t="s">
        <v>227</v>
      </c>
      <c r="F26" s="23" t="s">
        <v>257</v>
      </c>
    </row>
    <row r="27" customFormat="false" ht="15" hidden="false" customHeight="false" outlineLevel="0" collapsed="false">
      <c r="A27" s="2" t="s">
        <v>258</v>
      </c>
      <c r="B27" s="37" t="n">
        <v>26050</v>
      </c>
      <c r="C27" s="37" t="n">
        <v>26717</v>
      </c>
      <c r="E27" s="37" t="n">
        <v>13797</v>
      </c>
      <c r="F27" s="21" t="s">
        <v>259</v>
      </c>
    </row>
    <row r="28" customFormat="false" ht="15" hidden="false" customHeight="false" outlineLevel="0" collapsed="false">
      <c r="A28" s="2" t="s">
        <v>260</v>
      </c>
      <c r="B28" s="37" t="n">
        <v>5793</v>
      </c>
      <c r="C28" s="37" t="n">
        <v>6929</v>
      </c>
      <c r="E28" s="37" t="n">
        <v>3922</v>
      </c>
    </row>
    <row r="29" customFormat="false" ht="15" hidden="false" customHeight="false" outlineLevel="0" collapsed="false">
      <c r="A29" s="2" t="s">
        <v>261</v>
      </c>
      <c r="B29" s="37" t="n">
        <v>17993</v>
      </c>
      <c r="C29" s="37" t="n">
        <v>18997</v>
      </c>
      <c r="E29" s="37" t="n">
        <v>10524</v>
      </c>
    </row>
    <row r="30" customFormat="false" ht="15" hidden="false" customHeight="false" outlineLevel="0" collapsed="false">
      <c r="A30" s="2" t="s">
        <v>262</v>
      </c>
      <c r="B30" s="52" t="n">
        <f aca="false">B4-SUM(B27:B29)</f>
        <v>-1005</v>
      </c>
      <c r="C30" s="52" t="n">
        <f aca="false">C4-SUM(C27:C29)</f>
        <v>-1420</v>
      </c>
      <c r="E30" s="52" t="n">
        <f aca="false">E4-SUM(E27:E29)</f>
        <v>-96</v>
      </c>
    </row>
    <row r="32" customFormat="false" ht="15" hidden="false" customHeight="false" outlineLevel="0" collapsed="false">
      <c r="A32" s="8" t="s">
        <v>263</v>
      </c>
    </row>
    <row r="33" customFormat="false" ht="15" hidden="false" customHeight="false" outlineLevel="0" collapsed="false">
      <c r="A33" s="22" t="s">
        <v>256</v>
      </c>
      <c r="B33" s="23" t="s">
        <v>224</v>
      </c>
      <c r="C33" s="23" t="s">
        <v>225</v>
      </c>
      <c r="D33" s="23"/>
      <c r="E33" s="23" t="s">
        <v>227</v>
      </c>
      <c r="F33" s="23" t="s">
        <v>257</v>
      </c>
    </row>
    <row r="34" customFormat="false" ht="15" hidden="false" customHeight="false" outlineLevel="0" collapsed="false">
      <c r="A34" s="2" t="s">
        <v>258</v>
      </c>
      <c r="B34" s="37" t="n">
        <v>7047</v>
      </c>
      <c r="C34" s="37" t="n">
        <v>7805</v>
      </c>
      <c r="E34" s="37" t="n">
        <v>3821</v>
      </c>
    </row>
    <row r="35" customFormat="false" ht="15" hidden="false" customHeight="false" outlineLevel="0" collapsed="false">
      <c r="A35" s="2" t="s">
        <v>260</v>
      </c>
      <c r="B35" s="37" t="n">
        <v>2324</v>
      </c>
      <c r="C35" s="37" t="n">
        <v>3089</v>
      </c>
      <c r="E35" s="37" t="n">
        <v>1605</v>
      </c>
    </row>
    <row r="36" customFormat="false" ht="15" hidden="false" customHeight="false" outlineLevel="0" collapsed="false">
      <c r="A36" s="2" t="s">
        <v>261</v>
      </c>
      <c r="B36" s="37" t="n">
        <v>7418</v>
      </c>
      <c r="C36" s="37" t="n">
        <v>7506</v>
      </c>
      <c r="E36" s="37" t="n">
        <v>4593</v>
      </c>
    </row>
    <row r="37" customFormat="false" ht="15" hidden="false" customHeight="false" outlineLevel="0" collapsed="false">
      <c r="A37" s="2" t="s">
        <v>262</v>
      </c>
      <c r="B37" s="52" t="n">
        <f aca="false">B11-SUM(B34:B36)</f>
        <v>-601</v>
      </c>
      <c r="C37" s="52" t="n">
        <f aca="false">C11-SUM(C34:C36)</f>
        <v>-1335</v>
      </c>
      <c r="E37" s="52" t="n">
        <f aca="false">E11-SUM(E34:E36)</f>
        <v>652</v>
      </c>
      <c r="F37" s="21" t="s">
        <v>264</v>
      </c>
    </row>
    <row r="39" customFormat="false" ht="15" hidden="false" customHeight="false" outlineLevel="0" collapsed="false">
      <c r="A39" s="8" t="s">
        <v>265</v>
      </c>
    </row>
    <row r="40" customFormat="false" ht="15" hidden="false" customHeight="false" outlineLevel="0" collapsed="false">
      <c r="A40" s="22" t="s">
        <v>256</v>
      </c>
      <c r="B40" s="23" t="s">
        <v>266</v>
      </c>
      <c r="C40" s="23" t="s">
        <v>267</v>
      </c>
      <c r="D40" s="23" t="s">
        <v>268</v>
      </c>
      <c r="E40" s="23" t="s">
        <v>269</v>
      </c>
      <c r="F40" s="23" t="s">
        <v>257</v>
      </c>
    </row>
    <row r="41" customFormat="false" ht="15" hidden="false" customHeight="false" outlineLevel="0" collapsed="false">
      <c r="A41" s="2" t="s">
        <v>258</v>
      </c>
      <c r="B41" s="32" t="n">
        <v>435.9</v>
      </c>
      <c r="C41" s="32" t="n">
        <v>440.1</v>
      </c>
      <c r="D41" s="40" t="n">
        <v>0.139</v>
      </c>
      <c r="E41" s="40" t="n">
        <v>0.148</v>
      </c>
    </row>
    <row r="42" customFormat="false" ht="15" hidden="false" customHeight="false" outlineLevel="0" collapsed="false">
      <c r="A42" s="2" t="s">
        <v>260</v>
      </c>
      <c r="B42" s="32" t="n">
        <v>61.6</v>
      </c>
      <c r="C42" s="32" t="n">
        <v>65.1</v>
      </c>
      <c r="D42" s="40" t="n">
        <v>0.228</v>
      </c>
      <c r="E42" s="40" t="n">
        <v>0.247</v>
      </c>
    </row>
    <row r="43" customFormat="false" ht="15" hidden="false" customHeight="false" outlineLevel="0" collapsed="false">
      <c r="A43" s="2" t="s">
        <v>261</v>
      </c>
      <c r="B43" s="32" t="n">
        <v>258.2</v>
      </c>
      <c r="C43" s="32" t="n">
        <v>269.3</v>
      </c>
      <c r="D43" s="40" t="n">
        <v>0.213</v>
      </c>
      <c r="E43" s="40" t="n">
        <v>0.266</v>
      </c>
    </row>
    <row r="44" customFormat="false" ht="15" hidden="false" customHeight="false" outlineLevel="0" collapsed="false">
      <c r="A44" s="13" t="s">
        <v>270</v>
      </c>
      <c r="B44" s="53" t="n">
        <f aca="false">SUM(B41:B43)</f>
        <v>755.7</v>
      </c>
      <c r="C44" s="53" t="n">
        <f aca="false">SUM(C41:C43)</f>
        <v>774.5</v>
      </c>
      <c r="D44" s="15"/>
      <c r="E44" s="15"/>
      <c r="F44" s="21" t="s">
        <v>271</v>
      </c>
    </row>
    <row r="46" customFormat="false" ht="15" hidden="false" customHeight="false" outlineLevel="0" collapsed="false">
      <c r="A46" s="8" t="s">
        <v>272</v>
      </c>
    </row>
    <row r="47" customFormat="false" ht="15" hidden="false" customHeight="false" outlineLevel="0" collapsed="false">
      <c r="A47" s="22" t="s">
        <v>273</v>
      </c>
      <c r="B47" s="23" t="s">
        <v>274</v>
      </c>
      <c r="C47" s="23" t="s">
        <v>275</v>
      </c>
      <c r="D47" s="23" t="s">
        <v>276</v>
      </c>
      <c r="E47" s="23" t="s">
        <v>277</v>
      </c>
      <c r="F47" s="23" t="s">
        <v>278</v>
      </c>
    </row>
    <row r="48" customFormat="false" ht="15" hidden="false" customHeight="false" outlineLevel="0" collapsed="false">
      <c r="A48" s="2" t="s">
        <v>229</v>
      </c>
      <c r="B48" s="37" t="n">
        <v>54405</v>
      </c>
      <c r="C48" s="37" t="n">
        <v>56834</v>
      </c>
      <c r="D48" s="37" t="n">
        <v>59366</v>
      </c>
      <c r="E48" s="37" t="n">
        <v>61956</v>
      </c>
      <c r="F48" s="21" t="s">
        <v>279</v>
      </c>
    </row>
    <row r="49" customFormat="false" ht="15" hidden="false" customHeight="false" outlineLevel="0" collapsed="false">
      <c r="A49" s="2" t="s">
        <v>245</v>
      </c>
      <c r="B49" s="37" t="n">
        <v>13863</v>
      </c>
      <c r="C49" s="37" t="n">
        <v>14793</v>
      </c>
      <c r="D49" s="37" t="n">
        <v>16204</v>
      </c>
      <c r="E49" s="37" t="n">
        <v>17610</v>
      </c>
    </row>
    <row r="50" customFormat="false" ht="15" hidden="false" customHeight="false" outlineLevel="0" collapsed="false">
      <c r="A50" s="2" t="s">
        <v>280</v>
      </c>
      <c r="B50" s="24" t="n">
        <v>11.89</v>
      </c>
      <c r="C50" s="24" t="n">
        <v>12.87</v>
      </c>
      <c r="D50" s="24" t="n">
        <v>14.38</v>
      </c>
      <c r="E50" s="24" t="n">
        <v>15.98</v>
      </c>
    </row>
    <row r="51" customFormat="false" ht="15" hidden="false" customHeight="false" outlineLevel="0" collapsed="false">
      <c r="A51" s="2" t="s">
        <v>281</v>
      </c>
      <c r="B51" s="24" t="n">
        <v>6</v>
      </c>
      <c r="C51" s="24" t="n">
        <v>6.6</v>
      </c>
      <c r="D51" s="24" t="n">
        <v>7.5</v>
      </c>
      <c r="E51" s="24" t="n">
        <v>8.3</v>
      </c>
    </row>
    <row r="52" customFormat="false" ht="15" hidden="false" customHeight="false" outlineLevel="0" collapsed="false">
      <c r="A52" s="2" t="s">
        <v>282</v>
      </c>
      <c r="B52" s="40" t="n">
        <v>0.124</v>
      </c>
      <c r="C52" s="40" t="n">
        <v>0.126</v>
      </c>
      <c r="D52" s="40" t="n">
        <v>0.132</v>
      </c>
      <c r="E52" s="40" t="n">
        <v>0.138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</cols>
  <sheetData>
    <row r="1" customFormat="false" ht="16.15" hidden="false" customHeight="false" outlineLevel="0" collapsed="false">
      <c r="B1" s="44" t="s">
        <v>283</v>
      </c>
    </row>
    <row r="3" customFormat="false" ht="15" hidden="false" customHeight="false" outlineLevel="0" collapsed="false">
      <c r="A3" s="22" t="s">
        <v>273</v>
      </c>
      <c r="B3" s="23" t="s">
        <v>225</v>
      </c>
      <c r="C3" s="23" t="s">
        <v>155</v>
      </c>
      <c r="D3" s="23" t="s">
        <v>156</v>
      </c>
      <c r="E3" s="23" t="s">
        <v>157</v>
      </c>
      <c r="F3" s="23" t="s">
        <v>158</v>
      </c>
      <c r="G3" s="23" t="s">
        <v>159</v>
      </c>
      <c r="H3" s="23" t="s">
        <v>160</v>
      </c>
    </row>
    <row r="4" customFormat="false" ht="15" hidden="false" customHeight="false" outlineLevel="0" collapsed="false">
      <c r="A4" s="8" t="s">
        <v>284</v>
      </c>
    </row>
    <row r="5" customFormat="false" ht="15" hidden="false" customHeight="false" outlineLevel="0" collapsed="false">
      <c r="A5" s="2" t="s">
        <v>285</v>
      </c>
      <c r="B5" s="16" t="n">
        <f aca="false">Income_Statement!C27</f>
        <v>26717</v>
      </c>
      <c r="C5" s="16" t="n">
        <f aca="false">Income_Statement!E27*Assumptions!$B$5</f>
        <v>27731.97</v>
      </c>
      <c r="D5" s="16" t="n">
        <f aca="false">C5*(1+Assumptions!C10)</f>
        <v>28979.90865</v>
      </c>
      <c r="E5" s="16" t="n">
        <f aca="false">D5*(1+Assumptions!D10)</f>
        <v>30284.00453925</v>
      </c>
      <c r="F5" s="16" t="n">
        <f aca="false">E5*(1+Assumptions!E10)</f>
        <v>31495.36472082</v>
      </c>
      <c r="G5" s="16" t="n">
        <f aca="false">F5*(1+Assumptions!F10)</f>
        <v>32597.7024860487</v>
      </c>
      <c r="H5" s="16" t="n">
        <f aca="false">G5*(1+Assumptions!G10)</f>
        <v>33738.6220730604</v>
      </c>
    </row>
    <row r="6" customFormat="false" ht="15" hidden="false" customHeight="false" outlineLevel="0" collapsed="false">
      <c r="A6" s="2" t="s">
        <v>286</v>
      </c>
      <c r="B6" s="16" t="n">
        <f aca="false">Income_Statement!C28</f>
        <v>6929</v>
      </c>
      <c r="C6" s="16" t="n">
        <f aca="false">Income_Statement!E28*Assumptions!$B$6</f>
        <v>7844</v>
      </c>
      <c r="D6" s="16" t="n">
        <f aca="false">C6*(1+Assumptions!C11)</f>
        <v>8314.64</v>
      </c>
      <c r="E6" s="16" t="n">
        <f aca="false">D6*(1+Assumptions!D11)</f>
        <v>8813.5184</v>
      </c>
      <c r="F6" s="16" t="n">
        <f aca="false">E6*(1+Assumptions!E11)</f>
        <v>9254.19432</v>
      </c>
      <c r="G6" s="16" t="n">
        <f aca="false">F6*(1+Assumptions!F11)</f>
        <v>9716.904036</v>
      </c>
      <c r="H6" s="16" t="n">
        <f aca="false">G6*(1+Assumptions!G11)</f>
        <v>10154.16471762</v>
      </c>
    </row>
    <row r="7" customFormat="false" ht="15" hidden="false" customHeight="false" outlineLevel="0" collapsed="false">
      <c r="A7" s="2" t="s">
        <v>287</v>
      </c>
      <c r="B7" s="16" t="n">
        <f aca="false">Income_Statement!C29</f>
        <v>18997</v>
      </c>
      <c r="C7" s="16" t="n">
        <f aca="false">Income_Statement!E29*Assumptions!$B$7</f>
        <v>19995.6</v>
      </c>
      <c r="D7" s="16" t="n">
        <f aca="false">C7*(1+Assumptions!C12)</f>
        <v>20795.424</v>
      </c>
      <c r="E7" s="16" t="n">
        <f aca="false">D7*(1+Assumptions!D12)</f>
        <v>21627.24096</v>
      </c>
      <c r="F7" s="16" t="n">
        <f aca="false">E7*(1+Assumptions!E12)</f>
        <v>22492.3305984</v>
      </c>
      <c r="G7" s="16" t="n">
        <f aca="false">F7*(1+Assumptions!F12)</f>
        <v>23279.562169344</v>
      </c>
      <c r="H7" s="16" t="n">
        <f aca="false">G7*(1+Assumptions!G12)</f>
        <v>24094.346845271</v>
      </c>
    </row>
    <row r="8" customFormat="false" ht="15" hidden="false" customHeight="false" outlineLevel="0" collapsed="false">
      <c r="A8" s="2" t="s">
        <v>288</v>
      </c>
      <c r="B8" s="16" t="n">
        <f aca="false">Income_Statement!C30</f>
        <v>-1420</v>
      </c>
      <c r="C8" s="16" t="n">
        <f aca="false">Income_Statement!E30+Assumptions!$B$8</f>
        <v>-546</v>
      </c>
      <c r="D8" s="16" t="n">
        <f aca="false">Assumptions!C13</f>
        <v>-500</v>
      </c>
      <c r="E8" s="16" t="n">
        <f aca="false">Assumptions!D13</f>
        <v>-500</v>
      </c>
      <c r="F8" s="16" t="n">
        <f aca="false">Assumptions!E13</f>
        <v>-500</v>
      </c>
      <c r="G8" s="16" t="n">
        <f aca="false">Assumptions!F13</f>
        <v>-500</v>
      </c>
      <c r="H8" s="16" t="n">
        <f aca="false">Assumptions!G13</f>
        <v>-500</v>
      </c>
    </row>
    <row r="9" customFormat="false" ht="15" hidden="false" customHeight="false" outlineLevel="0" collapsed="false">
      <c r="A9" s="13" t="s">
        <v>229</v>
      </c>
      <c r="B9" s="49" t="n">
        <f aca="false">SUM(B5:B8)</f>
        <v>51223</v>
      </c>
      <c r="C9" s="49" t="n">
        <f aca="false">SUM(C5:C8)</f>
        <v>55025.57</v>
      </c>
      <c r="D9" s="49" t="n">
        <f aca="false">SUM(D5:D8)</f>
        <v>57589.97265</v>
      </c>
      <c r="E9" s="49" t="n">
        <f aca="false">SUM(E5:E8)</f>
        <v>60224.76389925</v>
      </c>
      <c r="F9" s="49" t="n">
        <f aca="false">SUM(F5:F8)</f>
        <v>62741.88963922</v>
      </c>
      <c r="G9" s="49" t="n">
        <f aca="false">SUM(G5:G8)</f>
        <v>65094.1686913927</v>
      </c>
      <c r="H9" s="49" t="n">
        <f aca="false">SUM(H5:H8)</f>
        <v>67487.1336359514</v>
      </c>
    </row>
    <row r="10" customFormat="false" ht="15" hidden="false" customHeight="false" outlineLevel="0" collapsed="false">
      <c r="A10" s="11" t="s">
        <v>289</v>
      </c>
      <c r="C10" s="12" t="n">
        <f aca="false">C9/B9-1</f>
        <v>0.0742355972902795</v>
      </c>
      <c r="D10" s="12" t="n">
        <f aca="false">D9/C9-1</f>
        <v>0.0466038361801615</v>
      </c>
      <c r="E10" s="12" t="n">
        <f aca="false">E9/D9-1</f>
        <v>0.0457508682155972</v>
      </c>
      <c r="F10" s="12" t="n">
        <f aca="false">F9/E9-1</f>
        <v>0.0417955269061894</v>
      </c>
      <c r="G10" s="12" t="n">
        <f aca="false">G9/F9-1</f>
        <v>0.0374913644727444</v>
      </c>
      <c r="H10" s="12" t="n">
        <f aca="false">H9/G9-1</f>
        <v>0.0367615869849054</v>
      </c>
    </row>
    <row r="12" customFormat="false" ht="15" hidden="false" customHeight="false" outlineLevel="0" collapsed="false">
      <c r="A12" s="8" t="s">
        <v>290</v>
      </c>
    </row>
    <row r="13" customFormat="false" ht="15" hidden="false" customHeight="false" outlineLevel="0" collapsed="false">
      <c r="A13" s="2" t="s">
        <v>231</v>
      </c>
      <c r="B13" s="16" t="n">
        <f aca="false">Income_Statement!C5</f>
        <v>-31374</v>
      </c>
      <c r="C13" s="16" t="n">
        <f aca="false">-C9*Assumptions!B15</f>
        <v>-32740.21415</v>
      </c>
      <c r="D13" s="16" t="n">
        <f aca="false">-D9*Assumptions!C15</f>
        <v>-33402.184137</v>
      </c>
      <c r="E13" s="16" t="n">
        <f aca="false">-E9*Assumptions!D15</f>
        <v>-33906.5420752777</v>
      </c>
      <c r="F13" s="16" t="n">
        <f aca="false">-F9*Assumptions!E15</f>
        <v>-34696.2649704887</v>
      </c>
      <c r="G13" s="16" t="n">
        <f aca="false">-G9*Assumptions!F15</f>
        <v>-35476.321936809</v>
      </c>
      <c r="H13" s="16" t="n">
        <f aca="false">-H9*Assumptions!G15</f>
        <v>-36443.0521634138</v>
      </c>
    </row>
    <row r="14" customFormat="false" ht="15" hidden="false" customHeight="false" outlineLevel="0" collapsed="false">
      <c r="A14" s="13" t="s">
        <v>233</v>
      </c>
      <c r="B14" s="49" t="n">
        <f aca="false">B9+B13</f>
        <v>19849</v>
      </c>
      <c r="C14" s="49" t="n">
        <f aca="false">C9+C13</f>
        <v>22285.35585</v>
      </c>
      <c r="D14" s="49" t="n">
        <f aca="false">D9+D13</f>
        <v>24187.788513</v>
      </c>
      <c r="E14" s="49" t="n">
        <f aca="false">E9+E13</f>
        <v>26318.2218239723</v>
      </c>
      <c r="F14" s="49" t="n">
        <f aca="false">F9+F13</f>
        <v>28045.6246687313</v>
      </c>
      <c r="G14" s="49" t="n">
        <f aca="false">G9+G13</f>
        <v>29617.8467545837</v>
      </c>
      <c r="H14" s="49" t="n">
        <f aca="false">H9+H13</f>
        <v>31044.0814725377</v>
      </c>
    </row>
    <row r="15" customFormat="false" ht="15" hidden="false" customHeight="false" outlineLevel="0" collapsed="false">
      <c r="A15" s="11" t="s">
        <v>181</v>
      </c>
      <c r="B15" s="51" t="n">
        <f aca="false">-B13/B9</f>
        <v>0.612498291782988</v>
      </c>
      <c r="C15" s="12" t="n">
        <f aca="false">-C13/C9</f>
        <v>0.595</v>
      </c>
      <c r="D15" s="12" t="n">
        <f aca="false">-D13/D9</f>
        <v>0.58</v>
      </c>
      <c r="E15" s="12" t="n">
        <f aca="false">-E13/E9</f>
        <v>0.563</v>
      </c>
      <c r="F15" s="12" t="n">
        <f aca="false">-F13/F9</f>
        <v>0.553</v>
      </c>
      <c r="G15" s="12" t="n">
        <f aca="false">-G13/G9</f>
        <v>0.545</v>
      </c>
      <c r="H15" s="12" t="n">
        <f aca="false">-H13/H9</f>
        <v>0.54</v>
      </c>
    </row>
    <row r="16" customFormat="false" ht="15" hidden="false" customHeight="false" outlineLevel="0" collapsed="false">
      <c r="A16" s="2" t="s">
        <v>291</v>
      </c>
      <c r="C16" s="16" t="n">
        <f aca="false">Assumptions!$B$16</f>
        <v>960</v>
      </c>
      <c r="D16" s="16" t="n">
        <f aca="false">C16*(1+Assumptions!C17)</f>
        <v>993.6</v>
      </c>
      <c r="E16" s="16" t="n">
        <f aca="false">D16*(1+Assumptions!D17)</f>
        <v>1028.376</v>
      </c>
      <c r="F16" s="16" t="n">
        <f aca="false">E16*(1+Assumptions!E17)</f>
        <v>1064.36916</v>
      </c>
      <c r="G16" s="16" t="n">
        <f aca="false">F16*(1+Assumptions!F17)</f>
        <v>1101.6220806</v>
      </c>
      <c r="H16" s="16" t="n">
        <f aca="false">G16*(1+Assumptions!G17)</f>
        <v>1140.178853421</v>
      </c>
    </row>
    <row r="17" customFormat="false" ht="15" hidden="false" customHeight="false" outlineLevel="0" collapsed="false">
      <c r="A17" s="2" t="s">
        <v>292</v>
      </c>
      <c r="C17" s="54" t="n">
        <f aca="false">Assumptions!B18</f>
        <v>39</v>
      </c>
      <c r="D17" s="54" t="n">
        <f aca="false">Assumptions!C18</f>
        <v>40</v>
      </c>
      <c r="E17" s="54" t="n">
        <f aca="false">Assumptions!D18</f>
        <v>40</v>
      </c>
      <c r="F17" s="54" t="n">
        <f aca="false">Assumptions!E18</f>
        <v>40</v>
      </c>
      <c r="G17" s="54" t="n">
        <f aca="false">Assumptions!F18</f>
        <v>40</v>
      </c>
      <c r="H17" s="54" t="n">
        <f aca="false">Assumptions!G18</f>
        <v>40</v>
      </c>
    </row>
    <row r="18" customFormat="false" ht="15" hidden="false" customHeight="false" outlineLevel="0" collapsed="false">
      <c r="A18" s="2" t="s">
        <v>234</v>
      </c>
      <c r="B18" s="16" t="n">
        <f aca="false">Income_Statement!C7</f>
        <v>-3350</v>
      </c>
      <c r="C18" s="52" t="n">
        <f aca="false">-C16*C17/10</f>
        <v>-3744</v>
      </c>
      <c r="D18" s="52" t="n">
        <f aca="false">-D16*D17/10</f>
        <v>-3974.4</v>
      </c>
      <c r="E18" s="52" t="n">
        <f aca="false">-E16*E17/10</f>
        <v>-4113.504</v>
      </c>
      <c r="F18" s="52" t="n">
        <f aca="false">-F16*F17/10</f>
        <v>-4257.47664</v>
      </c>
      <c r="G18" s="52" t="n">
        <f aca="false">-G16*G17/10</f>
        <v>-4406.4883224</v>
      </c>
      <c r="H18" s="52" t="n">
        <f aca="false">-H16*H17/10</f>
        <v>-4560.715413684</v>
      </c>
    </row>
    <row r="19" customFormat="false" ht="15" hidden="false" customHeight="false" outlineLevel="0" collapsed="false">
      <c r="A19" s="2" t="s">
        <v>293</v>
      </c>
      <c r="B19" s="16" t="n">
        <f aca="false">Income_Statement!C8</f>
        <v>-203</v>
      </c>
      <c r="C19" s="16" t="n">
        <f aca="false">Assumptions!B19</f>
        <v>-444</v>
      </c>
      <c r="D19" s="16" t="n">
        <f aca="false">Assumptions!C19</f>
        <v>-100</v>
      </c>
      <c r="E19" s="16" t="n">
        <f aca="false">Assumptions!D19</f>
        <v>-100</v>
      </c>
      <c r="F19" s="16" t="n">
        <f aca="false">Assumptions!E19</f>
        <v>-100</v>
      </c>
      <c r="G19" s="16" t="n">
        <f aca="false">Assumptions!F19</f>
        <v>-100</v>
      </c>
      <c r="H19" s="16" t="n">
        <f aca="false">Assumptions!G19</f>
        <v>-100</v>
      </c>
    </row>
    <row r="20" customFormat="false" ht="15" hidden="false" customHeight="false" outlineLevel="0" collapsed="false">
      <c r="A20" s="13" t="s">
        <v>238</v>
      </c>
      <c r="B20" s="49" t="n">
        <f aca="false">B14+B18+B19</f>
        <v>16296</v>
      </c>
      <c r="C20" s="49" t="n">
        <f aca="false">C14+C18+C19</f>
        <v>18097.35585</v>
      </c>
      <c r="D20" s="49" t="n">
        <f aca="false">D14+D18+D19</f>
        <v>20113.388513</v>
      </c>
      <c r="E20" s="49" t="n">
        <f aca="false">E14+E18+E19</f>
        <v>22104.7178239723</v>
      </c>
      <c r="F20" s="49" t="n">
        <f aca="false">F14+F18+F19</f>
        <v>23688.1480287313</v>
      </c>
      <c r="G20" s="49" t="n">
        <f aca="false">G14+G18+G19</f>
        <v>25111.3584321837</v>
      </c>
      <c r="H20" s="49" t="n">
        <f aca="false">H14+H18+H19</f>
        <v>26383.3660588537</v>
      </c>
    </row>
    <row r="21" customFormat="false" ht="15" hidden="false" customHeight="false" outlineLevel="0" collapsed="false">
      <c r="A21" s="2" t="s">
        <v>239</v>
      </c>
      <c r="B21" s="16" t="n">
        <f aca="false">Income_Statement!C10</f>
        <v>769</v>
      </c>
      <c r="C21" s="16" t="n">
        <f aca="false">Assumptions!B20</f>
        <v>1835</v>
      </c>
      <c r="D21" s="16" t="n">
        <f aca="false">Assumptions!C20</f>
        <v>850</v>
      </c>
      <c r="E21" s="16" t="n">
        <f aca="false">Assumptions!D20</f>
        <v>850</v>
      </c>
      <c r="F21" s="16" t="n">
        <f aca="false">Assumptions!E20</f>
        <v>850</v>
      </c>
      <c r="G21" s="16" t="n">
        <f aca="false">Assumptions!F20</f>
        <v>850</v>
      </c>
      <c r="H21" s="16" t="n">
        <f aca="false">Assumptions!G20</f>
        <v>850</v>
      </c>
    </row>
    <row r="22" customFormat="false" ht="15" hidden="false" customHeight="false" outlineLevel="0" collapsed="false">
      <c r="A22" s="13" t="s">
        <v>241</v>
      </c>
      <c r="B22" s="49" t="n">
        <f aca="false">B20+B21</f>
        <v>17065</v>
      </c>
      <c r="C22" s="49" t="n">
        <f aca="false">C20+C21</f>
        <v>19932.35585</v>
      </c>
      <c r="D22" s="49" t="n">
        <f aca="false">D20+D21</f>
        <v>20963.388513</v>
      </c>
      <c r="E22" s="49" t="n">
        <f aca="false">E20+E21</f>
        <v>22954.7178239723</v>
      </c>
      <c r="F22" s="49" t="n">
        <f aca="false">F20+F21</f>
        <v>24538.1480287313</v>
      </c>
      <c r="G22" s="49" t="n">
        <f aca="false">G20+G21</f>
        <v>25961.3584321837</v>
      </c>
      <c r="H22" s="49" t="n">
        <f aca="false">H20+H21</f>
        <v>27233.3660588537</v>
      </c>
    </row>
    <row r="23" customFormat="false" ht="15" hidden="false" customHeight="false" outlineLevel="0" collapsed="false">
      <c r="A23" s="2" t="s">
        <v>242</v>
      </c>
      <c r="B23" s="16" t="n">
        <f aca="false">Income_Statement!C12</f>
        <v>-4207</v>
      </c>
      <c r="C23" s="16" t="n">
        <f aca="false">-C22*Assumptions!B21</f>
        <v>-5581.059638</v>
      </c>
      <c r="D23" s="16" t="n">
        <f aca="false">-D22*Assumptions!C21</f>
        <v>-5764.931841075</v>
      </c>
      <c r="E23" s="16" t="n">
        <f aca="false">-E22*Assumptions!D21</f>
        <v>-6197.77381247251</v>
      </c>
      <c r="F23" s="16" t="n">
        <f aca="false">-F22*Assumptions!E21</f>
        <v>-6625.29996775746</v>
      </c>
      <c r="G23" s="16" t="n">
        <f aca="false">-G22*Assumptions!F21</f>
        <v>-7009.56677668959</v>
      </c>
      <c r="H23" s="16" t="n">
        <f aca="false">-H22*Assumptions!G21</f>
        <v>-7353.00883589049</v>
      </c>
    </row>
    <row r="24" customFormat="false" ht="15" hidden="false" customHeight="false" outlineLevel="0" collapsed="false">
      <c r="A24" s="11" t="s">
        <v>193</v>
      </c>
      <c r="B24" s="51" t="n">
        <f aca="false">-B23/B22</f>
        <v>0.246527981248169</v>
      </c>
      <c r="C24" s="12" t="n">
        <f aca="false">-C23/C22</f>
        <v>0.28</v>
      </c>
      <c r="D24" s="12" t="n">
        <f aca="false">-D23/D22</f>
        <v>0.275</v>
      </c>
      <c r="E24" s="12" t="n">
        <f aca="false">-E23/E22</f>
        <v>0.27</v>
      </c>
      <c r="F24" s="12" t="n">
        <f aca="false">-F23/F22</f>
        <v>0.27</v>
      </c>
      <c r="G24" s="12" t="n">
        <f aca="false">-G23/G22</f>
        <v>0.27</v>
      </c>
      <c r="H24" s="12" t="n">
        <f aca="false">-H23/H22</f>
        <v>0.27</v>
      </c>
    </row>
    <row r="25" customFormat="false" ht="15" hidden="false" customHeight="false" outlineLevel="0" collapsed="false">
      <c r="A25" s="2" t="s">
        <v>294</v>
      </c>
      <c r="B25" s="16" t="n">
        <f aca="false">Income_Statement!C13</f>
        <v>-633</v>
      </c>
      <c r="C25" s="16" t="n">
        <f aca="false">-Assumptions!B22</f>
        <v>-520</v>
      </c>
      <c r="D25" s="16" t="n">
        <f aca="false">-Assumptions!C22</f>
        <v>-541</v>
      </c>
      <c r="E25" s="16" t="n">
        <f aca="false">-Assumptions!D22</f>
        <v>-562</v>
      </c>
      <c r="F25" s="16" t="n">
        <f aca="false">-Assumptions!E22</f>
        <v>-585</v>
      </c>
      <c r="G25" s="16" t="n">
        <f aca="false">-Assumptions!F22</f>
        <v>-608</v>
      </c>
      <c r="H25" s="16" t="n">
        <f aca="false">-Assumptions!G22</f>
        <v>-633</v>
      </c>
    </row>
    <row r="26" customFormat="false" ht="15" hidden="false" customHeight="false" outlineLevel="0" collapsed="false">
      <c r="A26" s="13" t="s">
        <v>245</v>
      </c>
      <c r="B26" s="49" t="n">
        <f aca="false">B22+B23+B25</f>
        <v>12225</v>
      </c>
      <c r="C26" s="49" t="n">
        <f aca="false">C22+C23+C25</f>
        <v>13831.296212</v>
      </c>
      <c r="D26" s="49" t="n">
        <f aca="false">D22+D23+D25</f>
        <v>14657.456671925</v>
      </c>
      <c r="E26" s="49" t="n">
        <f aca="false">E22+E23+E25</f>
        <v>16194.9440114997</v>
      </c>
      <c r="F26" s="49" t="n">
        <f aca="false">F22+F23+F25</f>
        <v>17327.8480609739</v>
      </c>
      <c r="G26" s="49" t="n">
        <f aca="false">G22+G23+G25</f>
        <v>18343.7916554941</v>
      </c>
      <c r="H26" s="49" t="n">
        <f aca="false">H22+H23+H25</f>
        <v>19247.3572229632</v>
      </c>
    </row>
    <row r="27" customFormat="false" ht="15" hidden="false" customHeight="false" outlineLevel="0" collapsed="false">
      <c r="A27" s="11" t="s">
        <v>295</v>
      </c>
      <c r="C27" s="12" t="n">
        <f aca="false">C26/B26-1</f>
        <v>0.131394373169734</v>
      </c>
      <c r="D27" s="12" t="n">
        <f aca="false">D26/C26-1</f>
        <v>0.0597312390149105</v>
      </c>
      <c r="E27" s="12" t="n">
        <f aca="false">E26/D26-1</f>
        <v>0.104894551216355</v>
      </c>
      <c r="F27" s="12" t="n">
        <f aca="false">F26/E26-1</f>
        <v>0.0699541812969329</v>
      </c>
      <c r="G27" s="12" t="n">
        <f aca="false">G26/F26-1</f>
        <v>0.0586306846034932</v>
      </c>
      <c r="H27" s="12" t="n">
        <f aca="false">H26/G26-1</f>
        <v>0.0492572955710859</v>
      </c>
    </row>
    <row r="28" customFormat="false" ht="15" hidden="false" customHeight="false" outlineLevel="0" collapsed="false">
      <c r="A28" s="2" t="s">
        <v>296</v>
      </c>
      <c r="B28" s="16" t="n">
        <f aca="false">-Data!$B$19</f>
        <v>-711</v>
      </c>
      <c r="C28" s="16" t="n">
        <f aca="false">-Assumptions!B23</f>
        <v>-930</v>
      </c>
      <c r="D28" s="16" t="n">
        <f aca="false">-Assumptions!C23</f>
        <v>-950</v>
      </c>
      <c r="E28" s="16" t="n">
        <f aca="false">-Assumptions!D23</f>
        <v>-950</v>
      </c>
      <c r="F28" s="16" t="n">
        <f aca="false">-Assumptions!E23</f>
        <v>-950</v>
      </c>
      <c r="G28" s="16" t="n">
        <f aca="false">-Assumptions!F23</f>
        <v>-950</v>
      </c>
      <c r="H28" s="16" t="n">
        <f aca="false">-Assumptions!G23</f>
        <v>-950</v>
      </c>
    </row>
    <row r="29" customFormat="false" ht="15" hidden="false" customHeight="false" outlineLevel="0" collapsed="false">
      <c r="A29" s="13" t="s">
        <v>297</v>
      </c>
      <c r="B29" s="49" t="n">
        <f aca="false">B26+B28</f>
        <v>11514</v>
      </c>
      <c r="C29" s="49" t="n">
        <f aca="false">C26+C28</f>
        <v>12901.296212</v>
      </c>
      <c r="D29" s="49" t="n">
        <f aca="false">D26+D28</f>
        <v>13707.456671925</v>
      </c>
      <c r="E29" s="49" t="n">
        <f aca="false">E26+E28</f>
        <v>15244.9440114997</v>
      </c>
      <c r="F29" s="49" t="n">
        <f aca="false">F26+F28</f>
        <v>16377.8480609739</v>
      </c>
      <c r="G29" s="49" t="n">
        <f aca="false">G26+G28</f>
        <v>17393.7916554941</v>
      </c>
      <c r="H29" s="49" t="n">
        <f aca="false">H26+H28</f>
        <v>18297.3572229632</v>
      </c>
    </row>
    <row r="31" customFormat="false" ht="15" hidden="false" customHeight="false" outlineLevel="0" collapsed="false">
      <c r="A31" s="8" t="s">
        <v>298</v>
      </c>
    </row>
    <row r="32" customFormat="false" ht="15" hidden="false" customHeight="false" outlineLevel="0" collapsed="false">
      <c r="A32" s="2" t="s">
        <v>299</v>
      </c>
      <c r="B32" s="55" t="n">
        <f aca="false">Data!$B$33</f>
        <v>779</v>
      </c>
      <c r="C32" s="55" t="n">
        <f aca="false">Assumptions!$B$25</f>
        <v>795</v>
      </c>
      <c r="D32" s="55" t="n">
        <f aca="false">C32*(1+Assumptions!C26)</f>
        <v>822.825</v>
      </c>
      <c r="E32" s="55" t="n">
        <f aca="false">D32*(1+Assumptions!D26)</f>
        <v>847.50975</v>
      </c>
      <c r="F32" s="55" t="n">
        <f aca="false">E32*(1+Assumptions!E26)</f>
        <v>872.9350425</v>
      </c>
      <c r="G32" s="55" t="n">
        <f aca="false">F32*(1+Assumptions!F26)</f>
        <v>899.123093775</v>
      </c>
      <c r="H32" s="55" t="n">
        <f aca="false">G32*(1+Assumptions!G26)</f>
        <v>926.09678658825</v>
      </c>
    </row>
    <row r="33" customFormat="false" ht="15" hidden="false" customHeight="false" outlineLevel="0" collapsed="false">
      <c r="A33" s="2" t="s">
        <v>300</v>
      </c>
      <c r="C33" s="16" t="n">
        <f aca="false">(C32-B32)*Assumptions!B27*1000</f>
        <v>2080</v>
      </c>
      <c r="D33" s="16" t="n">
        <f aca="false">(D32-C32)*Assumptions!C27*1000</f>
        <v>3617.24999999999</v>
      </c>
      <c r="E33" s="16" t="n">
        <f aca="false">(E32-D32)*Assumptions!D27*1000</f>
        <v>3209.0175</v>
      </c>
      <c r="F33" s="16" t="n">
        <f aca="false">(F32-E32)*Assumptions!E27*1000</f>
        <v>3305.28802500001</v>
      </c>
      <c r="G33" s="16" t="n">
        <f aca="false">(G32-F32)*Assumptions!F27*1000</f>
        <v>3404.44666575</v>
      </c>
      <c r="H33" s="16" t="n">
        <f aca="false">(H32-G32)*Assumptions!G27*1000</f>
        <v>3506.58006572251</v>
      </c>
    </row>
    <row r="34" customFormat="false" ht="15" hidden="false" customHeight="false" outlineLevel="0" collapsed="false">
      <c r="A34" s="13" t="s">
        <v>301</v>
      </c>
      <c r="B34" s="15"/>
      <c r="C34" s="56" t="n">
        <f aca="false">Assumptions!$B$28*C29</f>
        <v>7740.7777272</v>
      </c>
      <c r="D34" s="49" t="n">
        <f aca="false">D29-D33</f>
        <v>10090.206671925</v>
      </c>
      <c r="E34" s="49" t="n">
        <f aca="false">E29-E33</f>
        <v>12035.9265114997</v>
      </c>
      <c r="F34" s="49" t="n">
        <f aca="false">F29-F33</f>
        <v>13072.5600359739</v>
      </c>
      <c r="G34" s="49" t="n">
        <f aca="false">G29-G33</f>
        <v>13989.3449897441</v>
      </c>
      <c r="H34" s="49" t="n">
        <f aca="false">H29-H33</f>
        <v>14790.7771572407</v>
      </c>
    </row>
    <row r="35" customFormat="false" ht="15" hidden="false" customHeight="false" outlineLevel="0" collapsed="false">
      <c r="A35" s="11" t="s">
        <v>302</v>
      </c>
      <c r="C35" s="12" t="n">
        <f aca="false">C34/C29</f>
        <v>0.6</v>
      </c>
      <c r="D35" s="12" t="n">
        <f aca="false">D34/D29</f>
        <v>0.736110783599362</v>
      </c>
      <c r="E35" s="12" t="n">
        <f aca="false">E34/E29</f>
        <v>0.789502834672312</v>
      </c>
      <c r="F35" s="12" t="n">
        <f aca="false">F34/F29</f>
        <v>0.798185450695684</v>
      </c>
      <c r="G35" s="12" t="n">
        <f aca="false">G34/G29</f>
        <v>0.804272309731003</v>
      </c>
      <c r="H35" s="12" t="n">
        <f aca="false">H34/H29</f>
        <v>0.808355926870043</v>
      </c>
    </row>
    <row r="36" customFormat="false" ht="15" hidden="false" customHeight="false" outlineLevel="0" collapsed="false">
      <c r="A36" s="2" t="s">
        <v>303</v>
      </c>
      <c r="C36" s="16" t="n">
        <f aca="false">C29*Assumptions!B29</f>
        <v>6450.648106</v>
      </c>
      <c r="D36" s="16" t="n">
        <f aca="false">D29*Assumptions!C29</f>
        <v>6853.7283359625</v>
      </c>
      <c r="E36" s="16" t="n">
        <f aca="false">E29*Assumptions!D29</f>
        <v>7622.47200574987</v>
      </c>
      <c r="F36" s="16" t="n">
        <f aca="false">F29*Assumptions!E29</f>
        <v>8188.92403048694</v>
      </c>
      <c r="G36" s="16" t="n">
        <f aca="false">G29*Assumptions!F29</f>
        <v>8696.89582774704</v>
      </c>
      <c r="H36" s="16" t="n">
        <f aca="false">H29*Assumptions!G29</f>
        <v>9148.67861148159</v>
      </c>
    </row>
    <row r="37" customFormat="false" ht="15" hidden="false" customHeight="false" outlineLevel="0" collapsed="false">
      <c r="A37" s="2" t="s">
        <v>304</v>
      </c>
      <c r="C37" s="52" t="n">
        <f aca="false">C34-C36</f>
        <v>1290.1296212</v>
      </c>
      <c r="D37" s="52" t="n">
        <f aca="false">D34-D36</f>
        <v>3236.47833596251</v>
      </c>
      <c r="E37" s="52" t="n">
        <f aca="false">E34-E36</f>
        <v>4413.45450574987</v>
      </c>
      <c r="F37" s="52" t="n">
        <f aca="false">F34-F36</f>
        <v>4883.63600548693</v>
      </c>
      <c r="G37" s="52" t="n">
        <f aca="false">G34-G36</f>
        <v>5292.44916199704</v>
      </c>
      <c r="H37" s="52" t="n">
        <f aca="false">H34-H36</f>
        <v>5642.09854575908</v>
      </c>
    </row>
    <row r="38" customFormat="false" ht="15" hidden="false" customHeight="false" outlineLevel="0" collapsed="false">
      <c r="A38" s="2" t="s">
        <v>305</v>
      </c>
      <c r="B38" s="55" t="n">
        <f aca="false">Data!$B$4</f>
        <v>1100</v>
      </c>
      <c r="C38" s="55" t="n">
        <f aca="false">Data!$B$3</f>
        <v>1100.1</v>
      </c>
      <c r="D38" s="55" t="n">
        <f aca="false">C38-C37/(Assumptions!$B$30*C48)</f>
        <v>1084.37188228098</v>
      </c>
      <c r="E38" s="55" t="n">
        <f aca="false">D38-D37/(Assumptions!$B$30*D48)</f>
        <v>1046.75943604318</v>
      </c>
      <c r="F38" s="55" t="n">
        <f aca="false">E38-E37/(Assumptions!$B$30*E48)</f>
        <v>998.652221497179</v>
      </c>
      <c r="G38" s="55" t="n">
        <f aca="false">F38-F37/(Assumptions!$B$30*F48)</f>
        <v>949.307966757494</v>
      </c>
      <c r="H38" s="55" t="n">
        <f aca="false">G38-G37/(Assumptions!$B$30*G48)</f>
        <v>899.919243250728</v>
      </c>
    </row>
    <row r="39" customFormat="false" ht="15" hidden="false" customHeight="false" outlineLevel="0" collapsed="false">
      <c r="A39" s="13" t="s">
        <v>280</v>
      </c>
      <c r="B39" s="57" t="n">
        <f aca="false">Data!$B$14</f>
        <v>10.29</v>
      </c>
      <c r="C39" s="14" t="n">
        <f aca="false">C29/AVERAGE(B38,C38)</f>
        <v>11.7279180146357</v>
      </c>
      <c r="D39" s="14" t="n">
        <f aca="false">D29/AVERAGE(C38,D38)</f>
        <v>12.5499044259723</v>
      </c>
      <c r="E39" s="14" t="n">
        <f aca="false">E29/AVERAGE(D38,E38)</f>
        <v>14.3069025173801</v>
      </c>
      <c r="F39" s="14" t="n">
        <f aca="false">F29/AVERAGE(E38,F38)</f>
        <v>16.0142316590378</v>
      </c>
      <c r="G39" s="14" t="n">
        <f aca="false">G29/AVERAGE(F38,G38)</f>
        <v>17.858467293501</v>
      </c>
      <c r="H39" s="14" t="n">
        <f aca="false">H29/AVERAGE(G38,H38)</f>
        <v>19.7891931547793</v>
      </c>
    </row>
    <row r="40" customFormat="false" ht="15" hidden="false" customHeight="false" outlineLevel="0" collapsed="false">
      <c r="A40" s="11" t="s">
        <v>306</v>
      </c>
      <c r="C40" s="12" t="n">
        <f aca="false">C39/B39-1</f>
        <v>0.139739360022906</v>
      </c>
      <c r="D40" s="12" t="n">
        <f aca="false">D39/C39-1</f>
        <v>0.0700880079747128</v>
      </c>
      <c r="E40" s="12" t="n">
        <f aca="false">E39/D39-1</f>
        <v>0.14000091409236</v>
      </c>
      <c r="F40" s="12" t="n">
        <f aca="false">F39/E39-1</f>
        <v>0.119336043534482</v>
      </c>
      <c r="G40" s="12" t="n">
        <f aca="false">G39/F39-1</f>
        <v>0.115162292748675</v>
      </c>
      <c r="H40" s="12" t="n">
        <f aca="false">H39/G39-1</f>
        <v>0.108112629686923</v>
      </c>
    </row>
    <row r="41" customFormat="false" ht="15" hidden="false" customHeight="false" outlineLevel="0" collapsed="false">
      <c r="A41" s="2" t="s">
        <v>281</v>
      </c>
      <c r="B41" s="5" t="n">
        <f aca="false">Data!$B$16</f>
        <v>5.16</v>
      </c>
      <c r="C41" s="58" t="n">
        <f aca="false">C36/C38</f>
        <v>5.86369248795564</v>
      </c>
      <c r="D41" s="58" t="n">
        <f aca="false">D36/D38</f>
        <v>6.32045928887945</v>
      </c>
      <c r="E41" s="58" t="n">
        <f aca="false">E36/E38</f>
        <v>7.28197114187319</v>
      </c>
      <c r="F41" s="58" t="n">
        <f aca="false">F36/F38</f>
        <v>8.19997578156899</v>
      </c>
      <c r="G41" s="58" t="n">
        <f aca="false">G36/G38</f>
        <v>9.16130079204182</v>
      </c>
      <c r="H41" s="58" t="n">
        <f aca="false">H36/H38</f>
        <v>10.1661106594791</v>
      </c>
    </row>
    <row r="43" customFormat="false" ht="15" hidden="false" customHeight="false" outlineLevel="0" collapsed="false">
      <c r="A43" s="8" t="s">
        <v>307</v>
      </c>
    </row>
    <row r="44" customFormat="false" ht="15" hidden="false" customHeight="false" outlineLevel="0" collapsed="false">
      <c r="A44" s="2" t="s">
        <v>308</v>
      </c>
      <c r="C44" s="16" t="n">
        <f aca="false">Data!$B$22*Data!$B$3</f>
        <v>108249.84</v>
      </c>
      <c r="D44" s="52" t="n">
        <f aca="false">C47</f>
        <v>106314.7134848</v>
      </c>
      <c r="E44" s="52" t="n">
        <f aca="false">D47</f>
        <v>109931.9634848</v>
      </c>
      <c r="F44" s="52" t="n">
        <f aca="false">E47</f>
        <v>113140.9809848</v>
      </c>
      <c r="G44" s="52" t="n">
        <f aca="false">F47</f>
        <v>116446.2690098</v>
      </c>
      <c r="H44" s="52" t="n">
        <f aca="false">G47</f>
        <v>119850.71567555</v>
      </c>
    </row>
    <row r="45" customFormat="false" ht="15" hidden="false" customHeight="false" outlineLevel="0" collapsed="false">
      <c r="A45" s="2" t="s">
        <v>309</v>
      </c>
      <c r="C45" s="16" t="n">
        <f aca="false">C29-Data!$B$15*Data!$B$3</f>
        <v>5805.651212</v>
      </c>
      <c r="D45" s="52" t="n">
        <f aca="false">D29</f>
        <v>13707.456671925</v>
      </c>
      <c r="E45" s="52" t="n">
        <f aca="false">E29</f>
        <v>15244.9440114997</v>
      </c>
      <c r="F45" s="52" t="n">
        <f aca="false">F29</f>
        <v>16377.8480609739</v>
      </c>
      <c r="G45" s="52" t="n">
        <f aca="false">G29</f>
        <v>17393.7916554941</v>
      </c>
      <c r="H45" s="52" t="n">
        <f aca="false">H29</f>
        <v>18297.3572229632</v>
      </c>
    </row>
    <row r="46" customFormat="false" ht="15" hidden="false" customHeight="false" outlineLevel="0" collapsed="false">
      <c r="A46" s="2" t="s">
        <v>310</v>
      </c>
      <c r="C46" s="52" t="n">
        <f aca="false">-C34</f>
        <v>-7740.7777272</v>
      </c>
      <c r="D46" s="52" t="n">
        <f aca="false">-D34</f>
        <v>-10090.206671925</v>
      </c>
      <c r="E46" s="52" t="n">
        <f aca="false">-E34</f>
        <v>-12035.9265114997</v>
      </c>
      <c r="F46" s="52" t="n">
        <f aca="false">-F34</f>
        <v>-13072.5600359739</v>
      </c>
      <c r="G46" s="52" t="n">
        <f aca="false">-G34</f>
        <v>-13989.3449897441</v>
      </c>
      <c r="H46" s="52" t="n">
        <f aca="false">-H34</f>
        <v>-14790.7771572407</v>
      </c>
    </row>
    <row r="47" customFormat="false" ht="15" hidden="false" customHeight="false" outlineLevel="0" collapsed="false">
      <c r="A47" s="13" t="s">
        <v>311</v>
      </c>
      <c r="B47" s="56" t="n">
        <f aca="false">Data!$B$24</f>
        <v>100065</v>
      </c>
      <c r="C47" s="49" t="n">
        <f aca="false">C44+C45+C46</f>
        <v>106314.7134848</v>
      </c>
      <c r="D47" s="49" t="n">
        <f aca="false">D44+D45+D46</f>
        <v>109931.9634848</v>
      </c>
      <c r="E47" s="49" t="n">
        <f aca="false">E44+E45+E46</f>
        <v>113140.9809848</v>
      </c>
      <c r="F47" s="49" t="n">
        <f aca="false">F44+F45+F46</f>
        <v>116446.2690098</v>
      </c>
      <c r="G47" s="49" t="n">
        <f aca="false">G44+G45+G46</f>
        <v>119850.71567555</v>
      </c>
      <c r="H47" s="49" t="n">
        <f aca="false">H44+H45+H46</f>
        <v>123357.295741273</v>
      </c>
    </row>
    <row r="48" customFormat="false" ht="15" hidden="false" customHeight="false" outlineLevel="0" collapsed="false">
      <c r="A48" s="2" t="s">
        <v>312</v>
      </c>
      <c r="B48" s="58" t="n">
        <f aca="false">B47/B38</f>
        <v>90.9681818181818</v>
      </c>
      <c r="C48" s="58" t="n">
        <f aca="false">C47/C38</f>
        <v>96.6409539903645</v>
      </c>
      <c r="D48" s="58" t="n">
        <f aca="false">D47/D38</f>
        <v>101.378471058801</v>
      </c>
      <c r="E48" s="58" t="n">
        <f aca="false">E47/E38</f>
        <v>108.086898564278</v>
      </c>
      <c r="F48" s="58" t="n">
        <f aca="false">F47/F38</f>
        <v>116.60342459883</v>
      </c>
      <c r="G48" s="58" t="n">
        <f aca="false">G47/G38</f>
        <v>126.25061610398</v>
      </c>
      <c r="H48" s="58" t="n">
        <f aca="false">H47/H38</f>
        <v>137.075961722605</v>
      </c>
    </row>
    <row r="49" customFormat="false" ht="15" hidden="false" customHeight="false" outlineLevel="0" collapsed="false">
      <c r="A49" s="13" t="s">
        <v>313</v>
      </c>
      <c r="B49" s="59" t="n">
        <f aca="false">Data!$B$26</f>
        <v>0.116</v>
      </c>
      <c r="C49" s="60" t="n">
        <f aca="false">C29/AVERAGE(B47,C47)</f>
        <v>0.125024848558579</v>
      </c>
      <c r="D49" s="60" t="n">
        <f aca="false">D29/AVERAGE(C47,D47)</f>
        <v>0.126776113871586</v>
      </c>
      <c r="E49" s="60" t="n">
        <f aca="false">E29/AVERAGE(D47,E47)</f>
        <v>0.136681246107614</v>
      </c>
      <c r="F49" s="60" t="n">
        <f aca="false">F29/AVERAGE(E47,F47)</f>
        <v>0.142672104494993</v>
      </c>
      <c r="G49" s="60" t="n">
        <f aca="false">G29/AVERAGE(F47,G47)</f>
        <v>0.147219751268984</v>
      </c>
      <c r="H49" s="60" t="n">
        <f aca="false">H29/AVERAGE(G47,H47)</f>
        <v>0.150466731061784</v>
      </c>
    </row>
    <row r="51" customFormat="false" ht="15" hidden="false" customHeight="false" outlineLevel="0" collapsed="false">
      <c r="A51" s="8" t="s">
        <v>314</v>
      </c>
    </row>
    <row r="52" customFormat="false" ht="15" hidden="false" customHeight="false" outlineLevel="0" collapsed="false">
      <c r="A52" s="2" t="s">
        <v>315</v>
      </c>
      <c r="C52" s="61" t="n">
        <v>0</v>
      </c>
      <c r="D52" s="61" t="n">
        <v>1</v>
      </c>
      <c r="E52" s="61" t="n">
        <v>2</v>
      </c>
      <c r="F52" s="61" t="n">
        <v>3</v>
      </c>
      <c r="G52" s="61" t="n">
        <v>4</v>
      </c>
      <c r="H52" s="61" t="n">
        <v>5</v>
      </c>
    </row>
    <row r="53" customFormat="false" ht="15" hidden="false" customHeight="false" outlineLevel="0" collapsed="false">
      <c r="A53" s="2" t="s">
        <v>316</v>
      </c>
      <c r="B53" s="19" t="n">
        <f aca="false">Cost_of_Equity!B9</f>
        <v>0.1179345</v>
      </c>
    </row>
    <row r="54" customFormat="false" ht="15" hidden="false" customHeight="false" outlineLevel="0" collapsed="false">
      <c r="A54" s="2" t="s">
        <v>317</v>
      </c>
      <c r="C54" s="62" t="n">
        <f aca="false">1/(1+$B$53)^C52</f>
        <v>1</v>
      </c>
      <c r="D54" s="62" t="n">
        <f aca="false">1/(1+$B$53)^D52</f>
        <v>0.894506789082902</v>
      </c>
      <c r="E54" s="62" t="n">
        <f aca="false">1/(1+$B$53)^E52</f>
        <v>0.800142395715404</v>
      </c>
      <c r="F54" s="62" t="n">
        <f aca="false">1/(1+$B$53)^F52</f>
        <v>0.715732805200487</v>
      </c>
      <c r="G54" s="62" t="n">
        <f aca="false">1/(1+$B$53)^G52</f>
        <v>0.640227853421186</v>
      </c>
      <c r="H54" s="62" t="n">
        <f aca="false">1/(1+$B$53)^H52</f>
        <v>0.572688161445224</v>
      </c>
    </row>
    <row r="55" customFormat="false" ht="15" hidden="false" customHeight="false" outlineLevel="0" collapsed="false">
      <c r="A55" s="2" t="s">
        <v>318</v>
      </c>
      <c r="C55" s="52" t="n">
        <f aca="false">C34-Assumptions!$B$35*Data!$B$3</f>
        <v>4187.4547272</v>
      </c>
      <c r="D55" s="52" t="n">
        <f aca="false">D34</f>
        <v>10090.206671925</v>
      </c>
      <c r="E55" s="52" t="n">
        <f aca="false">E34</f>
        <v>12035.9265114997</v>
      </c>
      <c r="F55" s="52" t="n">
        <f aca="false">F34</f>
        <v>13072.5600359739</v>
      </c>
      <c r="G55" s="52" t="n">
        <f aca="false">G34</f>
        <v>13989.3449897441</v>
      </c>
      <c r="H55" s="52" t="n">
        <f aca="false">H34</f>
        <v>14790.7771572407</v>
      </c>
    </row>
    <row r="56" customFormat="false" ht="15" hidden="false" customHeight="false" outlineLevel="0" collapsed="false">
      <c r="A56" s="2" t="s">
        <v>319</v>
      </c>
      <c r="C56" s="52" t="n">
        <f aca="false">C55*C54</f>
        <v>4187.4547272</v>
      </c>
      <c r="D56" s="52" t="n">
        <f aca="false">D55*D54</f>
        <v>9025.75837128652</v>
      </c>
      <c r="E56" s="52" t="n">
        <f aca="false">E55*E54</f>
        <v>9630.45507356595</v>
      </c>
      <c r="F56" s="52" t="n">
        <f aca="false">F55*F54</f>
        <v>9356.46006569936</v>
      </c>
      <c r="G56" s="52" t="n">
        <f aca="false">G55*G54</f>
        <v>8956.36831355228</v>
      </c>
      <c r="H56" s="52" t="n">
        <f aca="false">H55*H54</f>
        <v>8470.50297652618</v>
      </c>
    </row>
    <row r="58" customFormat="false" ht="15" hidden="false" customHeight="false" outlineLevel="0" collapsed="false">
      <c r="A58" s="2" t="s">
        <v>320</v>
      </c>
      <c r="B58" s="52" t="n">
        <f aca="false">C56</f>
        <v>4187.4547272</v>
      </c>
    </row>
    <row r="59" customFormat="false" ht="15" hidden="false" customHeight="false" outlineLevel="0" collapsed="false">
      <c r="A59" s="2" t="s">
        <v>321</v>
      </c>
      <c r="B59" s="52" t="n">
        <f aca="false">SUM(D56:H56)</f>
        <v>45439.5448006303</v>
      </c>
    </row>
    <row r="60" customFormat="false" ht="15" hidden="false" customHeight="false" outlineLevel="0" collapsed="false">
      <c r="A60" s="2" t="s">
        <v>322</v>
      </c>
      <c r="B60" s="52" t="n">
        <f aca="false">H47</f>
        <v>123357.295741273</v>
      </c>
    </row>
    <row r="61" customFormat="false" ht="15" hidden="false" customHeight="false" outlineLevel="0" collapsed="false">
      <c r="A61" s="2" t="s">
        <v>323</v>
      </c>
      <c r="B61" s="19" t="n">
        <f aca="false">Assumptions!B33</f>
        <v>0.135</v>
      </c>
    </row>
    <row r="62" customFormat="false" ht="15" hidden="false" customHeight="false" outlineLevel="0" collapsed="false">
      <c r="A62" s="2" t="s">
        <v>217</v>
      </c>
      <c r="B62" s="19" t="n">
        <f aca="false">Assumptions!B34</f>
        <v>0.02</v>
      </c>
    </row>
    <row r="63" customFormat="false" ht="15" hidden="false" customHeight="false" outlineLevel="0" collapsed="false">
      <c r="A63" s="2" t="s">
        <v>324</v>
      </c>
      <c r="B63" s="63" t="n">
        <f aca="false">(B61-B62)/(B53-B62)</f>
        <v>1.17425422093338</v>
      </c>
    </row>
    <row r="64" customFormat="false" ht="15" hidden="false" customHeight="false" outlineLevel="0" collapsed="false">
      <c r="A64" s="2" t="s">
        <v>325</v>
      </c>
      <c r="B64" s="52" t="n">
        <f aca="false">B60*B63</f>
        <v>144852.825207116</v>
      </c>
    </row>
    <row r="65" customFormat="false" ht="15" hidden="false" customHeight="false" outlineLevel="0" collapsed="false">
      <c r="A65" s="2" t="s">
        <v>326</v>
      </c>
      <c r="B65" s="52" t="n">
        <f aca="false">B64*H54</f>
        <v>82955.49814801</v>
      </c>
    </row>
    <row r="66" customFormat="false" ht="15" hidden="false" customHeight="false" outlineLevel="0" collapsed="false">
      <c r="A66" s="13" t="s">
        <v>327</v>
      </c>
      <c r="B66" s="64" t="n">
        <f aca="false">B58+B59+B65</f>
        <v>132582.49767584</v>
      </c>
    </row>
    <row r="67" customFormat="false" ht="15" hidden="false" customHeight="false" outlineLevel="0" collapsed="false">
      <c r="A67" s="2" t="s">
        <v>328</v>
      </c>
      <c r="B67" s="55" t="n">
        <f aca="false">Data!$B$3</f>
        <v>1100.1</v>
      </c>
    </row>
    <row r="68" customFormat="false" ht="15" hidden="false" customHeight="false" outlineLevel="0" collapsed="false">
      <c r="A68" s="13" t="s">
        <v>329</v>
      </c>
      <c r="B68" s="65" t="n">
        <f aca="false">B66/B67</f>
        <v>120.518587106481</v>
      </c>
    </row>
    <row r="69" customFormat="false" ht="15" hidden="false" customHeight="false" outlineLevel="0" collapsed="false">
      <c r="A69" s="2" t="s">
        <v>330</v>
      </c>
      <c r="B69" s="51" t="n">
        <f aca="false">B65/B66</f>
        <v>0.625689661925312</v>
      </c>
    </row>
    <row r="71" customFormat="false" ht="15" hidden="false" customHeight="false" outlineLevel="0" collapsed="false">
      <c r="A71" s="8" t="s">
        <v>331</v>
      </c>
    </row>
    <row r="72" customFormat="false" ht="15" hidden="false" customHeight="false" outlineLevel="0" collapsed="false">
      <c r="A72" s="2" t="s">
        <v>332</v>
      </c>
      <c r="B72" s="52" t="n">
        <f aca="false">C47</f>
        <v>106314.7134848</v>
      </c>
    </row>
    <row r="73" customFormat="false" ht="15" hidden="false" customHeight="false" outlineLevel="0" collapsed="false">
      <c r="A73" s="2" t="s">
        <v>333</v>
      </c>
      <c r="B73" s="63" t="n">
        <f aca="false">B63</f>
        <v>1.17425422093338</v>
      </c>
    </row>
    <row r="74" customFormat="false" ht="15" hidden="false" customHeight="false" outlineLevel="0" collapsed="false">
      <c r="A74" s="2" t="s">
        <v>334</v>
      </c>
      <c r="B74" s="52" t="n">
        <f aca="false">B72*B73</f>
        <v>124840.501056849</v>
      </c>
    </row>
    <row r="75" customFormat="false" ht="15" hidden="false" customHeight="false" outlineLevel="0" collapsed="false">
      <c r="A75" s="2" t="s">
        <v>335</v>
      </c>
      <c r="B75" s="52" t="n">
        <f aca="false">B58</f>
        <v>4187.4547272</v>
      </c>
    </row>
    <row r="76" customFormat="false" ht="15" hidden="false" customHeight="false" outlineLevel="0" collapsed="false">
      <c r="A76" s="13" t="s">
        <v>327</v>
      </c>
      <c r="B76" s="64" t="n">
        <f aca="false">B74+B75</f>
        <v>129027.955784049</v>
      </c>
    </row>
    <row r="77" customFormat="false" ht="15" hidden="false" customHeight="false" outlineLevel="0" collapsed="false">
      <c r="A77" s="13" t="s">
        <v>336</v>
      </c>
      <c r="B77" s="65" t="n">
        <f aca="false">B76/B67</f>
        <v>117.287479123761</v>
      </c>
    </row>
    <row r="79" customFormat="false" ht="15" hidden="false" customHeight="false" outlineLevel="0" collapsed="false">
      <c r="A79" s="21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6.15" hidden="false" customHeight="false" outlineLevel="0" collapsed="false">
      <c r="B1" s="44" t="s">
        <v>338</v>
      </c>
    </row>
    <row r="3" customFormat="false" ht="15" hidden="false" customHeight="false" outlineLevel="0" collapsed="false">
      <c r="A3" s="22" t="s">
        <v>339</v>
      </c>
      <c r="B3" s="23" t="s">
        <v>340</v>
      </c>
      <c r="C3" s="23" t="s">
        <v>257</v>
      </c>
    </row>
    <row r="4" customFormat="false" ht="15" hidden="false" customHeight="false" outlineLevel="0" collapsed="false">
      <c r="A4" s="8" t="s">
        <v>341</v>
      </c>
    </row>
    <row r="5" customFormat="false" ht="15" hidden="false" customHeight="false" outlineLevel="0" collapsed="false">
      <c r="A5" s="2" t="s">
        <v>342</v>
      </c>
      <c r="B5" s="66" t="n">
        <f aca="false">Data!$B$10</f>
        <v>0.0493</v>
      </c>
      <c r="C5" s="21" t="s">
        <v>343</v>
      </c>
    </row>
    <row r="6" customFormat="false" ht="15" hidden="false" customHeight="false" outlineLevel="0" collapsed="false">
      <c r="A6" s="2" t="s">
        <v>344</v>
      </c>
      <c r="B6" s="66" t="n">
        <f aca="false">Data!$B$12</f>
        <v>0.055</v>
      </c>
      <c r="C6" s="21" t="s">
        <v>345</v>
      </c>
    </row>
    <row r="7" customFormat="false" ht="15" hidden="false" customHeight="false" outlineLevel="0" collapsed="false">
      <c r="A7" s="2" t="s">
        <v>346</v>
      </c>
      <c r="B7" s="67" t="n">
        <f aca="false">Data!$B$9</f>
        <v>1.37</v>
      </c>
      <c r="C7" s="21" t="s">
        <v>347</v>
      </c>
    </row>
    <row r="8" customFormat="false" ht="15" hidden="false" customHeight="false" outlineLevel="0" collapsed="false">
      <c r="A8" s="2" t="s">
        <v>348</v>
      </c>
      <c r="B8" s="68" t="n">
        <f aca="false">0.67*B7+0.33</f>
        <v>1.2479</v>
      </c>
      <c r="C8" s="21" t="s">
        <v>349</v>
      </c>
    </row>
    <row r="9" customFormat="false" ht="15" hidden="false" customHeight="false" outlineLevel="0" collapsed="false">
      <c r="A9" s="13" t="s">
        <v>350</v>
      </c>
      <c r="B9" s="69" t="n">
        <f aca="false">B5+B8*B6</f>
        <v>0.1179345</v>
      </c>
      <c r="C9" s="21" t="s">
        <v>351</v>
      </c>
    </row>
    <row r="10" customFormat="false" ht="15" hidden="false" customHeight="false" outlineLevel="0" collapsed="false">
      <c r="A10" s="8" t="s">
        <v>352</v>
      </c>
    </row>
    <row r="11" customFormat="false" ht="15" hidden="false" customHeight="false" outlineLevel="0" collapsed="false">
      <c r="A11" s="2" t="s">
        <v>353</v>
      </c>
      <c r="B11" s="66" t="n">
        <f aca="false">Data!$B$11</f>
        <v>0.0337</v>
      </c>
    </row>
    <row r="12" customFormat="false" ht="15" hidden="false" customHeight="false" outlineLevel="0" collapsed="false">
      <c r="A12" s="2" t="s">
        <v>354</v>
      </c>
      <c r="B12" s="70" t="n">
        <f aca="false">B5-B11</f>
        <v>0.0156</v>
      </c>
      <c r="C12" s="21" t="s">
        <v>355</v>
      </c>
    </row>
    <row r="13" customFormat="false" ht="15" hidden="false" customHeight="false" outlineLevel="0" collapsed="false">
      <c r="A13" s="2" t="s">
        <v>356</v>
      </c>
      <c r="B13" s="70" t="n">
        <f aca="false">B11+B8*B6</f>
        <v>0.1023345</v>
      </c>
      <c r="C13" s="21" t="s">
        <v>357</v>
      </c>
    </row>
    <row r="14" customFormat="false" ht="15" hidden="false" customHeight="false" outlineLevel="0" collapsed="false">
      <c r="A14" s="2" t="s">
        <v>358</v>
      </c>
      <c r="B14" s="66" t="n">
        <f aca="false">Assumptions!B34+(Assumptions!B33-Assumptions!B34)*DDM!C48/(Data!$B$2-DDM!B58/DDM!B67)</f>
        <v>0.159420550933767</v>
      </c>
      <c r="C14" s="21" t="s">
        <v>359</v>
      </c>
    </row>
    <row r="15" customFormat="false" ht="15" hidden="false" customHeight="false" outlineLevel="0" collapsed="false">
      <c r="A15" s="2" t="s">
        <v>360</v>
      </c>
      <c r="B15" s="66" t="n">
        <f aca="false">Assumptions!B34+(DDM!C49-Assumptions!B34)*DDM!C48/(Data!$B$2-DDM!B58/DDM!B67)</f>
        <v>0.14732714998063</v>
      </c>
      <c r="C15" s="21" t="s">
        <v>361</v>
      </c>
    </row>
    <row r="16" customFormat="false" ht="15" hidden="false" customHeight="false" outlineLevel="0" collapsed="false">
      <c r="A16" s="4" t="s">
        <v>362</v>
      </c>
      <c r="B16" s="71" t="n">
        <f aca="false">B14-B9</f>
        <v>0.0414860509337669</v>
      </c>
      <c r="C16" s="21" t="s">
        <v>363</v>
      </c>
    </row>
    <row r="17" customFormat="false" ht="15" hidden="false" customHeight="false" outlineLevel="0" collapsed="false">
      <c r="A17" s="8" t="s">
        <v>364</v>
      </c>
    </row>
    <row r="18" customFormat="false" ht="15" hidden="false" customHeight="false" outlineLevel="0" collapsed="false">
      <c r="A18" s="2" t="s">
        <v>365</v>
      </c>
      <c r="B18" s="66" t="n">
        <f aca="false">Data!$B$29</f>
        <v>0.13</v>
      </c>
    </row>
    <row r="19" customFormat="false" ht="15" hidden="false" customHeight="false" outlineLevel="0" collapsed="false">
      <c r="A19" s="2" t="s">
        <v>366</v>
      </c>
      <c r="B19" s="72" t="n">
        <f aca="false">Data!$B$30</f>
        <v>0.1043</v>
      </c>
    </row>
    <row r="20" customFormat="false" ht="15" hidden="false" customHeight="false" outlineLevel="0" collapsed="false">
      <c r="A20" s="2" t="s">
        <v>367</v>
      </c>
      <c r="B20" s="73" t="n">
        <f aca="false">(B18-B19)*10000</f>
        <v>257</v>
      </c>
      <c r="C20" s="21" t="s">
        <v>368</v>
      </c>
    </row>
    <row r="21" customFormat="false" ht="15" hidden="false" customHeight="false" outlineLevel="0" collapsed="false">
      <c r="A21" s="2" t="s">
        <v>369</v>
      </c>
      <c r="B21" s="66" t="n">
        <f aca="false">Data!$B$31</f>
        <v>0.044</v>
      </c>
    </row>
    <row r="22" customFormat="false" ht="15" hidden="false" customHeight="false" outlineLevel="0" collapsed="false">
      <c r="A22" s="2" t="s">
        <v>370</v>
      </c>
      <c r="B22" s="74" t="n">
        <f aca="false">Data!$B$32</f>
        <v>1.49</v>
      </c>
    </row>
    <row r="23" customFormat="false" ht="15" hidden="false" customHeight="false" outlineLevel="0" collapsed="false">
      <c r="A23" s="4" t="s">
        <v>371</v>
      </c>
      <c r="B23" s="75" t="n">
        <f aca="false">Data!$B$2/Data!$B$22</f>
        <v>0.848780487804878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16.15" hidden="false" customHeight="false" outlineLevel="0" collapsed="false">
      <c r="B1" s="44" t="s">
        <v>372</v>
      </c>
    </row>
    <row r="3" customFormat="false" ht="15" hidden="false" customHeight="false" outlineLevel="0" collapsed="false">
      <c r="A3" s="22" t="s">
        <v>273</v>
      </c>
      <c r="B3" s="23" t="s">
        <v>21</v>
      </c>
      <c r="C3" s="23" t="s">
        <v>373</v>
      </c>
    </row>
    <row r="4" customFormat="false" ht="15" hidden="false" customHeight="false" outlineLevel="0" collapsed="false">
      <c r="A4" s="2" t="s">
        <v>320</v>
      </c>
      <c r="B4" s="76" t="n">
        <f aca="false">DDM!B58</f>
        <v>4187.4547272</v>
      </c>
      <c r="C4" s="76" t="n">
        <f aca="false">DDM!B75</f>
        <v>4187.4547272</v>
      </c>
    </row>
    <row r="5" customFormat="false" ht="15" hidden="false" customHeight="false" outlineLevel="0" collapsed="false">
      <c r="A5" s="2" t="s">
        <v>321</v>
      </c>
      <c r="B5" s="76" t="n">
        <f aca="false">DDM!B59</f>
        <v>45439.5448006303</v>
      </c>
      <c r="C5" s="77" t="n">
        <v>0</v>
      </c>
    </row>
    <row r="6" customFormat="false" ht="15" hidden="false" customHeight="false" outlineLevel="0" collapsed="false">
      <c r="A6" s="2" t="s">
        <v>374</v>
      </c>
      <c r="B6" s="76" t="n">
        <f aca="false">DDM!B65</f>
        <v>82955.49814801</v>
      </c>
      <c r="C6" s="76" t="n">
        <f aca="false">DDM!B74</f>
        <v>124840.501056849</v>
      </c>
    </row>
    <row r="7" customFormat="false" ht="15" hidden="false" customHeight="false" outlineLevel="0" collapsed="false">
      <c r="A7" s="13" t="s">
        <v>327</v>
      </c>
      <c r="B7" s="64" t="n">
        <f aca="false">SUM(B4:B6)</f>
        <v>132582.49767584</v>
      </c>
      <c r="C7" s="64" t="n">
        <f aca="false">SUM(C4:C6)</f>
        <v>129027.955784049</v>
      </c>
    </row>
    <row r="8" customFormat="false" ht="15" hidden="false" customHeight="false" outlineLevel="0" collapsed="false">
      <c r="A8" s="2" t="s">
        <v>328</v>
      </c>
      <c r="B8" s="78" t="n">
        <f aca="false">DDM!B67</f>
        <v>1100.1</v>
      </c>
      <c r="C8" s="79" t="n">
        <f aca="false">B8</f>
        <v>1100.1</v>
      </c>
    </row>
    <row r="9" customFormat="false" ht="15" hidden="false" customHeight="false" outlineLevel="0" collapsed="false">
      <c r="A9" s="13" t="s">
        <v>375</v>
      </c>
      <c r="B9" s="65" t="n">
        <f aca="false">B7/B8</f>
        <v>120.518587106481</v>
      </c>
      <c r="C9" s="65" t="n">
        <f aca="false">C7/C8</f>
        <v>117.287479123761</v>
      </c>
    </row>
    <row r="10" customFormat="false" ht="15" hidden="false" customHeight="false" outlineLevel="0" collapsed="false">
      <c r="A10" s="2" t="s">
        <v>376</v>
      </c>
      <c r="B10" s="80" t="n">
        <f aca="false">Data!$B$2</f>
        <v>83.52</v>
      </c>
      <c r="C10" s="81" t="n">
        <f aca="false">B10</f>
        <v>83.52</v>
      </c>
    </row>
    <row r="11" customFormat="false" ht="15" hidden="false" customHeight="false" outlineLevel="0" collapsed="false">
      <c r="A11" s="2" t="s">
        <v>377</v>
      </c>
      <c r="B11" s="70" t="n">
        <f aca="false">B9/B10-1</f>
        <v>0.442990746006722</v>
      </c>
      <c r="C11" s="70" t="n">
        <f aca="false">C9/C10-1</f>
        <v>0.404304108282576</v>
      </c>
    </row>
    <row r="12" customFormat="false" ht="15" hidden="false" customHeight="false" outlineLevel="0" collapsed="false">
      <c r="A12" s="2" t="s">
        <v>378</v>
      </c>
      <c r="B12" s="82" t="n">
        <f aca="false">B9/Data!$B$22</f>
        <v>1.22478238929351</v>
      </c>
      <c r="C12" s="82" t="n">
        <f aca="false">C9/Data!$B$22</f>
        <v>1.19194592605448</v>
      </c>
    </row>
    <row r="13" customFormat="false" ht="15" hidden="false" customHeight="false" outlineLevel="0" collapsed="false">
      <c r="A13" s="2" t="s">
        <v>379</v>
      </c>
      <c r="B13" s="83" t="n">
        <f aca="false">B9/DDM!D39</f>
        <v>9.60314780223075</v>
      </c>
      <c r="C13" s="83" t="n">
        <f aca="false">C9/DDM!D39</f>
        <v>9.34568703814446</v>
      </c>
    </row>
    <row r="15" customFormat="false" ht="15" hidden="false" customHeight="false" outlineLevel="0" collapsed="false">
      <c r="A15" s="21" t="s">
        <v>380</v>
      </c>
      <c r="B15" s="84" t="n">
        <f aca="false">B9-DDM!B68</f>
        <v>0</v>
      </c>
      <c r="C15" s="84" t="n">
        <f aca="false">C9-DDM!B77</f>
        <v>0</v>
      </c>
    </row>
    <row r="16" customFormat="false" ht="15" hidden="false" customHeight="false" outlineLevel="0" collapsed="false">
      <c r="A16" s="21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6.15" hidden="false" customHeight="false" outlineLevel="0" collapsed="false">
      <c r="B1" s="44" t="s">
        <v>382</v>
      </c>
    </row>
    <row r="3" customFormat="false" ht="15" hidden="false" customHeight="false" outlineLevel="0" collapsed="false">
      <c r="A3" s="4" t="s">
        <v>383</v>
      </c>
      <c r="C3" s="4" t="s">
        <v>384</v>
      </c>
    </row>
    <row r="4" customFormat="false" ht="15" hidden="false" customHeight="false" outlineLevel="0" collapsed="false">
      <c r="B4" s="85" t="s">
        <v>385</v>
      </c>
      <c r="C4" s="7" t="n">
        <f aca="false">$E$4-0.01</f>
        <v>0.01</v>
      </c>
      <c r="D4" s="7" t="n">
        <f aca="false">$E$4-0.005</f>
        <v>0.015</v>
      </c>
      <c r="E4" s="86" t="n">
        <f aca="false">Assumptions!$B$34</f>
        <v>0.02</v>
      </c>
      <c r="F4" s="7" t="n">
        <f aca="false">$E$4+0.005</f>
        <v>0.025</v>
      </c>
      <c r="G4" s="7" t="n">
        <f aca="false">$E$4+0.01</f>
        <v>0.03</v>
      </c>
    </row>
    <row r="5" customFormat="false" ht="15" hidden="false" customHeight="false" outlineLevel="0" collapsed="false">
      <c r="B5" s="7" t="n">
        <f aca="false">$B$8-0.015</f>
        <v>0.1029345</v>
      </c>
      <c r="C5" s="87" t="n">
        <f aca="false">(DDM!$B$58+SUMPRODUCT(DDM!$D$55:$H$55,(1+$B5)^(-DDM!$D$52:$H$52))+DDM!$H$47*(Assumptions!$B$33-C$4)/($B5-C$4)*(1+$B5)^(-DDM!$H$52))/DDM!$B$67</f>
        <v>139.214060601839</v>
      </c>
      <c r="D5" s="87" t="n">
        <f aca="false">(DDM!$B$58+SUMPRODUCT(DDM!$D$55:$H$55,(1+$B5)^(-DDM!$D$52:$H$52))+DDM!$H$47*(Assumptions!$B$33-D$4)/($B5-D$4)*(1+$B5)^(-DDM!$H$52))/DDM!$B$67</f>
        <v>140.561954856384</v>
      </c>
      <c r="E5" s="87" t="n">
        <f aca="false">(DDM!$B$58+SUMPRODUCT(DDM!$D$55:$H$55,(1+$B5)^(-DDM!$D$52:$H$52))+DDM!$H$47*(Assumptions!$B$33-E$4)/($B5-E$4)*(1+$B5)^(-DDM!$H$52))/DDM!$B$67</f>
        <v>142.072374266872</v>
      </c>
      <c r="F5" s="87" t="n">
        <f aca="false">(DDM!$B$58+SUMPRODUCT(DDM!$D$55:$H$55,(1+$B5)^(-DDM!$D$52:$H$52))+DDM!$H$47*(Assumptions!$B$33-F$4)/($B5-F$4)*(1+$B5)^(-DDM!$H$52))/DDM!$B$67</f>
        <v>143.77659993909</v>
      </c>
      <c r="G5" s="87" t="n">
        <f aca="false">(DDM!$B$58+SUMPRODUCT(DDM!$D$55:$H$55,(1+$B5)^(-DDM!$D$52:$H$52))+DDM!$H$47*(Assumptions!$B$33-G$4)/($B5-G$4)*(1+$B5)^(-DDM!$H$52))/DDM!$B$67</f>
        <v>145.714490841374</v>
      </c>
    </row>
    <row r="6" customFormat="false" ht="15" hidden="false" customHeight="false" outlineLevel="0" collapsed="false">
      <c r="B6" s="7" t="n">
        <f aca="false">$B$8-0.01</f>
        <v>0.1079345</v>
      </c>
      <c r="C6" s="87" t="n">
        <f aca="false">(DDM!$B$58+SUMPRODUCT(DDM!$D$55:$H$55,(1+$B6)^(-DDM!$D$52:$H$52))+DDM!$H$47*(Assumptions!$B$33-C$4)/($B6-C$4)*(1+$B6)^(-DDM!$H$52))/DDM!$B$67</f>
        <v>131.959007793255</v>
      </c>
      <c r="D6" s="87" t="n">
        <f aca="false">(DDM!$B$58+SUMPRODUCT(DDM!$D$55:$H$55,(1+$B6)^(-DDM!$D$52:$H$52))+DDM!$H$47*(Assumptions!$B$33-D$4)/($B6-D$4)*(1+$B6)^(-DDM!$H$52))/DDM!$B$67</f>
        <v>132.957709119869</v>
      </c>
      <c r="E6" s="87" t="n">
        <f aca="false">(DDM!$B$58+SUMPRODUCT(DDM!$D$55:$H$55,(1+$B6)^(-DDM!$D$52:$H$52))+DDM!$H$47*(Assumptions!$B$33-E$4)/($B6-E$4)*(1+$B6)^(-DDM!$H$52))/DDM!$B$67</f>
        <v>134.069983768285</v>
      </c>
      <c r="F6" s="87" t="n">
        <f aca="false">(DDM!$B$58+SUMPRODUCT(DDM!$D$55:$H$55,(1+$B6)^(-DDM!$D$52:$H$52))+DDM!$H$47*(Assumptions!$B$33-F$4)/($B6-F$4)*(1+$B6)^(-DDM!$H$52))/DDM!$B$67</f>
        <v>135.316373248096</v>
      </c>
      <c r="G6" s="87" t="n">
        <f aca="false">(DDM!$B$58+SUMPRODUCT(DDM!$D$55:$H$55,(1+$B6)^(-DDM!$D$52:$H$52))+DDM!$H$47*(Assumptions!$B$33-G$4)/($B6-G$4)*(1+$B6)^(-DDM!$H$52))/DDM!$B$67</f>
        <v>136.722690549321</v>
      </c>
    </row>
    <row r="7" customFormat="false" ht="15" hidden="false" customHeight="false" outlineLevel="0" collapsed="false">
      <c r="B7" s="7" t="n">
        <f aca="false">$B$8-0.005</f>
        <v>0.1129345</v>
      </c>
      <c r="C7" s="87" t="n">
        <f aca="false">(DDM!$B$58+SUMPRODUCT(DDM!$D$55:$H$55,(1+$B7)^(-DDM!$D$52:$H$52))+DDM!$H$47*(Assumptions!$B$33-C$4)/($B7-C$4)*(1+$B7)^(-DDM!$H$52))/DDM!$B$67</f>
        <v>125.414563239593</v>
      </c>
      <c r="D7" s="87" t="n">
        <f aca="false">(DDM!$B$58+SUMPRODUCT(DDM!$D$55:$H$55,(1+$B7)^(-DDM!$D$52:$H$52))+DDM!$H$47*(Assumptions!$B$33-D$4)/($B7-D$4)*(1+$B7)^(-DDM!$H$52))/DDM!$B$67</f>
        <v>126.133303141734</v>
      </c>
      <c r="E7" s="87" t="n">
        <f aca="false">(DDM!$B$58+SUMPRODUCT(DDM!$D$55:$H$55,(1+$B7)^(-DDM!$D$52:$H$52))+DDM!$H$47*(Assumptions!$B$33-E$4)/($B7-E$4)*(1+$B7)^(-DDM!$H$52))/DDM!$B$67</f>
        <v>126.929381373789</v>
      </c>
      <c r="F7" s="87" t="n">
        <f aca="false">(DDM!$B$58+SUMPRODUCT(DDM!$D$55:$H$55,(1+$B7)^(-DDM!$D$52:$H$52))+DDM!$H$47*(Assumptions!$B$33-F$4)/($B7-F$4)*(1+$B7)^(-DDM!$H$52))/DDM!$B$67</f>
        <v>127.815990425039</v>
      </c>
      <c r="G7" s="87" t="n">
        <f aca="false">(DDM!$B$58+SUMPRODUCT(DDM!$D$55:$H$55,(1+$B7)^(-DDM!$D$52:$H$52))+DDM!$H$47*(Assumptions!$B$33-G$4)/($B7-G$4)*(1+$B7)^(-DDM!$H$52))/DDM!$B$67</f>
        <v>128.809504208488</v>
      </c>
    </row>
    <row r="8" customFormat="false" ht="15" hidden="false" customHeight="false" outlineLevel="0" collapsed="false">
      <c r="B8" s="86" t="n">
        <f aca="false">Cost_of_Equity!$B$9</f>
        <v>0.1179345</v>
      </c>
      <c r="C8" s="87" t="n">
        <f aca="false">(DDM!$B$58+SUMPRODUCT(DDM!$D$55:$H$55,(1+$B8)^(-DDM!$D$52:$H$52))+DDM!$H$47*(Assumptions!$B$33-C$4)/($B8-C$4)*(1+$B8)^(-DDM!$H$52))/DDM!$B$67</f>
        <v>119.48183744151</v>
      </c>
      <c r="D8" s="87" t="n">
        <f aca="false">(DDM!$B$58+SUMPRODUCT(DDM!$D$55:$H$55,(1+$B8)^(-DDM!$D$52:$H$52))+DDM!$H$47*(Assumptions!$B$33-D$4)/($B8-D$4)*(1+$B8)^(-DDM!$H$52))/DDM!$B$67</f>
        <v>119.975032434754</v>
      </c>
      <c r="E8" s="88" t="n">
        <f aca="false">(DDM!$B$58+SUMPRODUCT(DDM!$D$55:$H$55,(1+$B8)^(-DDM!$D$52:$H$52))+DDM!$H$47*(Assumptions!$B$33-E$4)/($B8-E$4)*(1+$B8)^(-DDM!$H$52))/DDM!$B$67</f>
        <v>120.518587106481</v>
      </c>
      <c r="F8" s="87" t="n">
        <f aca="false">(DDM!$B$58+SUMPRODUCT(DDM!$D$55:$H$55,(1+$B8)^(-DDM!$D$52:$H$52))+DDM!$H$47*(Assumptions!$B$33-F$4)/($B8-F$4)*(1+$B8)^(-DDM!$H$52))/DDM!$B$67</f>
        <v>121.120629710217</v>
      </c>
      <c r="G8" s="87" t="n">
        <f aca="false">(DDM!$B$58+SUMPRODUCT(DDM!$D$55:$H$55,(1+$B8)^(-DDM!$D$52:$H$52))+DDM!$H$47*(Assumptions!$B$33-G$4)/($B8-G$4)*(1+$B8)^(-DDM!$H$52))/DDM!$B$67</f>
        <v>121.79113720586</v>
      </c>
    </row>
    <row r="9" customFormat="false" ht="15" hidden="false" customHeight="false" outlineLevel="0" collapsed="false">
      <c r="B9" s="7" t="n">
        <f aca="false">$B$8+0.005</f>
        <v>0.1229345</v>
      </c>
      <c r="C9" s="87" t="n">
        <f aca="false">(DDM!$B$58+SUMPRODUCT(DDM!$D$55:$H$55,(1+$B9)^(-DDM!$D$52:$H$52))+DDM!$H$47*(Assumptions!$B$33-C$4)/($B9-C$4)*(1+$B9)^(-DDM!$H$52))/DDM!$B$67</f>
        <v>114.079457452133</v>
      </c>
      <c r="D9" s="87" t="n">
        <f aca="false">(DDM!$B$58+SUMPRODUCT(DDM!$D$55:$H$55,(1+$B9)^(-DDM!$D$52:$H$52))+DDM!$H$47*(Assumptions!$B$33-D$4)/($B9-D$4)*(1+$B9)^(-DDM!$H$52))/DDM!$B$67</f>
        <v>114.390263142763</v>
      </c>
      <c r="E9" s="87" t="n">
        <f aca="false">(DDM!$B$58+SUMPRODUCT(DDM!$D$55:$H$55,(1+$B9)^(-DDM!$D$52:$H$52))+DDM!$H$47*(Assumptions!$B$33-E$4)/($B9-E$4)*(1+$B9)^(-DDM!$H$52))/DDM!$B$67</f>
        <v>114.731263344526</v>
      </c>
      <c r="F9" s="87" t="n">
        <f aca="false">(DDM!$B$58+SUMPRODUCT(DDM!$D$55:$H$55,(1+$B9)^(-DDM!$D$52:$H$52))+DDM!$H$47*(Assumptions!$B$33-F$4)/($B9-F$4)*(1+$B9)^(-DDM!$H$52))/DDM!$B$67</f>
        <v>115.107082757269</v>
      </c>
      <c r="G9" s="87" t="n">
        <f aca="false">(DDM!$B$58+SUMPRODUCT(DDM!$D$55:$H$55,(1+$B9)^(-DDM!$D$52:$H$52))+DDM!$H$47*(Assumptions!$B$33-G$4)/($B9-G$4)*(1+$B9)^(-DDM!$H$52))/DDM!$B$67</f>
        <v>115.523341340906</v>
      </c>
    </row>
    <row r="10" customFormat="false" ht="15" hidden="false" customHeight="false" outlineLevel="0" collapsed="false">
      <c r="B10" s="7" t="n">
        <f aca="false">$B$8+0.01</f>
        <v>0.1279345</v>
      </c>
      <c r="C10" s="87" t="n">
        <f aca="false">(DDM!$B$58+SUMPRODUCT(DDM!$D$55:$H$55,(1+$B10)^(-DDM!$D$52:$H$52))+DDM!$H$47*(Assumptions!$B$33-C$4)/($B10-C$4)*(1+$B10)^(-DDM!$H$52))/DDM!$B$67</f>
        <v>109.139853552984</v>
      </c>
      <c r="D10" s="87" t="n">
        <f aca="false">(DDM!$B$58+SUMPRODUCT(DDM!$D$55:$H$55,(1+$B10)^(-DDM!$D$52:$H$52))+DDM!$H$47*(Assumptions!$B$33-D$4)/($B10-D$4)*(1+$B10)^(-DDM!$H$52))/DDM!$B$67</f>
        <v>109.302767653187</v>
      </c>
      <c r="E10" s="87" t="n">
        <f aca="false">(DDM!$B$58+SUMPRODUCT(DDM!$D$55:$H$55,(1+$B10)^(-DDM!$D$52:$H$52))+DDM!$H$47*(Assumptions!$B$33-E$4)/($B10-E$4)*(1+$B10)^(-DDM!$H$52))/DDM!$B$67</f>
        <v>109.480775546404</v>
      </c>
      <c r="F10" s="87" t="n">
        <f aca="false">(DDM!$B$58+SUMPRODUCT(DDM!$D$55:$H$55,(1+$B10)^(-DDM!$D$52:$H$52))+DDM!$H$47*(Assumptions!$B$33-F$4)/($B10-F$4)*(1+$B10)^(-DDM!$H$52))/DDM!$B$67</f>
        <v>109.676076756556</v>
      </c>
      <c r="G10" s="87" t="n">
        <f aca="false">(DDM!$B$58+SUMPRODUCT(DDM!$D$55:$H$55,(1+$B10)^(-DDM!$D$52:$H$52))+DDM!$H$47*(Assumptions!$B$33-G$4)/($B10-G$4)*(1+$B10)^(-DDM!$H$52))/DDM!$B$67</f>
        <v>109.89131999022</v>
      </c>
    </row>
    <row r="11" customFormat="false" ht="15" hidden="false" customHeight="false" outlineLevel="0" collapsed="false">
      <c r="B11" s="7" t="n">
        <f aca="false">$B$8+0.015</f>
        <v>0.1329345</v>
      </c>
      <c r="C11" s="87" t="n">
        <f aca="false">(DDM!$B$58+SUMPRODUCT(DDM!$D$55:$H$55,(1+$B11)^(-DDM!$D$52:$H$52))+DDM!$H$47*(Assumptions!$B$33-C$4)/($B11-C$4)*(1+$B11)^(-DDM!$H$52))/DDM!$B$67</f>
        <v>104.606452106211</v>
      </c>
      <c r="D11" s="87" t="n">
        <f aca="false">(DDM!$B$58+SUMPRODUCT(DDM!$D$55:$H$55,(1+$B11)^(-DDM!$D$52:$H$52))+DDM!$H$47*(Assumptions!$B$33-D$4)/($B11-D$4)*(1+$B11)^(-DDM!$H$52))/DDM!$B$67</f>
        <v>104.649246730643</v>
      </c>
      <c r="E11" s="87" t="n">
        <f aca="false">(DDM!$B$58+SUMPRODUCT(DDM!$D$55:$H$55,(1+$B11)^(-DDM!$D$52:$H$52))+DDM!$H$47*(Assumptions!$B$33-E$4)/($B11-E$4)*(1+$B11)^(-DDM!$H$52))/DDM!$B$67</f>
        <v>104.695830686451</v>
      </c>
      <c r="F11" s="87" t="n">
        <f aca="false">(DDM!$B$58+SUMPRODUCT(DDM!$D$55:$H$55,(1+$B11)^(-DDM!$D$52:$H$52))+DDM!$H$47*(Assumptions!$B$33-F$4)/($B11-F$4)*(1+$B11)^(-DDM!$H$52))/DDM!$B$67</f>
        <v>104.746730589043</v>
      </c>
      <c r="G11" s="87" t="n">
        <f aca="false">(DDM!$B$58+SUMPRODUCT(DDM!$D$55:$H$55,(1+$B11)^(-DDM!$D$52:$H$52))+DDM!$H$47*(Assumptions!$B$33-G$4)/($B11-G$4)*(1+$B11)^(-DDM!$H$52))/DDM!$B$67</f>
        <v>104.802575374312</v>
      </c>
    </row>
    <row r="13" customFormat="false" ht="15" hidden="false" customHeight="false" outlineLevel="0" collapsed="false">
      <c r="A13" s="4" t="s">
        <v>386</v>
      </c>
      <c r="C13" s="4" t="s">
        <v>387</v>
      </c>
    </row>
    <row r="14" customFormat="false" ht="15" hidden="false" customHeight="false" outlineLevel="0" collapsed="false">
      <c r="B14" s="85" t="s">
        <v>388</v>
      </c>
      <c r="C14" s="7" t="n">
        <f aca="false">$E$14-0.01</f>
        <v>0.125</v>
      </c>
      <c r="D14" s="7" t="n">
        <f aca="false">$E$14-0.005</f>
        <v>0.13</v>
      </c>
      <c r="E14" s="86" t="n">
        <f aca="false">Assumptions!$B$33</f>
        <v>0.135</v>
      </c>
      <c r="F14" s="7" t="n">
        <f aca="false">$E$14+0.005</f>
        <v>0.14</v>
      </c>
      <c r="G14" s="7" t="n">
        <f aca="false">$E$14+0.01</f>
        <v>0.145</v>
      </c>
    </row>
    <row r="15" customFormat="false" ht="15" hidden="false" customHeight="false" outlineLevel="0" collapsed="false">
      <c r="B15" s="7" t="n">
        <f aca="false">$B$18-0.015</f>
        <v>0.1029345</v>
      </c>
      <c r="C15" s="87" t="n">
        <f aca="false">(DDM!$C$47*(C$14-Assumptions!$B$34)/($B15-Assumptions!$B$34)+DDM!$B$58)/DDM!$B$67</f>
        <v>126.159615353792</v>
      </c>
      <c r="D15" s="87" t="n">
        <f aca="false">(DDM!$C$47*(D$14-Assumptions!$B$34)/($B15-Assumptions!$B$34)+DDM!$B$58)/DDM!$B$67</f>
        <v>131.985957466566</v>
      </c>
      <c r="E15" s="87" t="n">
        <f aca="false">(DDM!$C$47*(E$14-Assumptions!$B$34)/($B15-Assumptions!$B$34)+DDM!$B$58)/DDM!$B$67</f>
        <v>137.81229957934</v>
      </c>
      <c r="F15" s="87" t="n">
        <f aca="false">(DDM!$C$47*(F$14-Assumptions!$B$34)/($B15-Assumptions!$B$34)+DDM!$B$58)/DDM!$B$67</f>
        <v>143.638641692113</v>
      </c>
      <c r="G15" s="87" t="n">
        <f aca="false">(DDM!$C$47*(G$14-Assumptions!$B$34)/($B15-Assumptions!$B$34)+DDM!$B$58)/DDM!$B$67</f>
        <v>149.464983804887</v>
      </c>
    </row>
    <row r="16" customFormat="false" ht="15" hidden="false" customHeight="false" outlineLevel="0" collapsed="false">
      <c r="B16" s="7" t="n">
        <f aca="false">$B$18-0.01</f>
        <v>0.1079345</v>
      </c>
      <c r="C16" s="87" t="n">
        <f aca="false">(DDM!$C$47*(C$14-Assumptions!$B$34)/($B16-Assumptions!$B$34)+DDM!$B$58)/DDM!$B$67</f>
        <v>119.202551609287</v>
      </c>
      <c r="D16" s="87" t="n">
        <f aca="false">(DDM!$C$47*(D$14-Assumptions!$B$34)/($B16-Assumptions!$B$34)+DDM!$B$58)/DDM!$B$67</f>
        <v>124.697604972322</v>
      </c>
      <c r="E16" s="87" t="n">
        <f aca="false">(DDM!$C$47*(E$14-Assumptions!$B$34)/($B16-Assumptions!$B$34)+DDM!$B$58)/DDM!$B$67</f>
        <v>130.192658335357</v>
      </c>
      <c r="F16" s="87" t="n">
        <f aca="false">(DDM!$C$47*(F$14-Assumptions!$B$34)/($B16-Assumptions!$B$34)+DDM!$B$58)/DDM!$B$67</f>
        <v>135.687711698393</v>
      </c>
      <c r="G16" s="87" t="n">
        <f aca="false">(DDM!$C$47*(G$14-Assumptions!$B$34)/($B16-Assumptions!$B$34)+DDM!$B$58)/DDM!$B$67</f>
        <v>141.182765061428</v>
      </c>
    </row>
    <row r="17" customFormat="false" ht="15" hidden="false" customHeight="false" outlineLevel="0" collapsed="false">
      <c r="B17" s="7" t="n">
        <f aca="false">$B$18-0.005</f>
        <v>0.1129345</v>
      </c>
      <c r="C17" s="87" t="n">
        <f aca="false">(DDM!$C$47*(C$14-Assumptions!$B$34)/($B17-Assumptions!$B$34)+DDM!$B$58)/DDM!$B$67</f>
        <v>112.994086473964</v>
      </c>
      <c r="D17" s="87" t="n">
        <f aca="false">(DDM!$C$47*(D$14-Assumptions!$B$34)/($B17-Assumptions!$B$34)+DDM!$B$58)/DDM!$B$67</f>
        <v>118.193498640079</v>
      </c>
      <c r="E17" s="87" t="n">
        <f aca="false">(DDM!$C$47*(E$14-Assumptions!$B$34)/($B17-Assumptions!$B$34)+DDM!$B$58)/DDM!$B$67</f>
        <v>123.392910806194</v>
      </c>
      <c r="F17" s="87" t="n">
        <f aca="false">(DDM!$C$47*(F$14-Assumptions!$B$34)/($B17-Assumptions!$B$34)+DDM!$B$58)/DDM!$B$67</f>
        <v>128.592322972309</v>
      </c>
      <c r="G17" s="87" t="n">
        <f aca="false">(DDM!$C$47*(G$14-Assumptions!$B$34)/($B17-Assumptions!$B$34)+DDM!$B$58)/DDM!$B$67</f>
        <v>133.791735138424</v>
      </c>
    </row>
    <row r="18" customFormat="false" ht="15" hidden="false" customHeight="false" outlineLevel="0" collapsed="false">
      <c r="B18" s="86" t="n">
        <f aca="false">Cost_of_Equity!$B$9</f>
        <v>0.1179345</v>
      </c>
      <c r="C18" s="87" t="n">
        <f aca="false">(DDM!$C$47*(C$14-Assumptions!$B$34)/($B18-Assumptions!$B$34)+DDM!$B$58)/DDM!$B$67</f>
        <v>107.419561894351</v>
      </c>
      <c r="D18" s="87" t="n">
        <f aca="false">(DDM!$C$47*(D$14-Assumptions!$B$34)/($B18-Assumptions!$B$34)+DDM!$B$58)/DDM!$B$67</f>
        <v>112.353520509056</v>
      </c>
      <c r="E18" s="88" t="n">
        <f aca="false">(DDM!$C$47*(E$14-Assumptions!$B$34)/($B18-Assumptions!$B$34)+DDM!$B$58)/DDM!$B$67</f>
        <v>117.287479123761</v>
      </c>
      <c r="F18" s="87" t="n">
        <f aca="false">(DDM!$C$47*(F$14-Assumptions!$B$34)/($B18-Assumptions!$B$34)+DDM!$B$58)/DDM!$B$67</f>
        <v>122.221437738466</v>
      </c>
      <c r="G18" s="87" t="n">
        <f aca="false">(DDM!$C$47*(G$14-Assumptions!$B$34)/($B18-Assumptions!$B$34)+DDM!$B$58)/DDM!$B$67</f>
        <v>127.155396353171</v>
      </c>
    </row>
    <row r="19" customFormat="false" ht="15" hidden="false" customHeight="false" outlineLevel="0" collapsed="false">
      <c r="B19" s="7" t="n">
        <f aca="false">$B$18+0.005</f>
        <v>0.1229345</v>
      </c>
      <c r="C19" s="87" t="n">
        <f aca="false">(DDM!$C$47*(C$14-Assumptions!$B$34)/($B19-Assumptions!$B$34)+DDM!$B$58)/DDM!$B$67</f>
        <v>102.386597683673</v>
      </c>
      <c r="D19" s="87" t="n">
        <f aca="false">(DDM!$C$47*(D$14-Assumptions!$B$34)/($B19-Assumptions!$B$34)+DDM!$B$58)/DDM!$B$67</f>
        <v>107.080891335965</v>
      </c>
      <c r="E19" s="87" t="n">
        <f aca="false">(DDM!$C$47*(E$14-Assumptions!$B$34)/($B19-Assumptions!$B$34)+DDM!$B$58)/DDM!$B$67</f>
        <v>111.775184988256</v>
      </c>
      <c r="F19" s="87" t="n">
        <f aca="false">(DDM!$C$47*(F$14-Assumptions!$B$34)/($B19-Assumptions!$B$34)+DDM!$B$58)/DDM!$B$67</f>
        <v>116.469478640548</v>
      </c>
      <c r="G19" s="87" t="n">
        <f aca="false">(DDM!$C$47*(G$14-Assumptions!$B$34)/($B19-Assumptions!$B$34)+DDM!$B$58)/DDM!$B$67</f>
        <v>121.16377229284</v>
      </c>
    </row>
    <row r="20" customFormat="false" ht="15" hidden="false" customHeight="false" outlineLevel="0" collapsed="false">
      <c r="B20" s="7" t="n">
        <f aca="false">$B$18+0.01</f>
        <v>0.1279345</v>
      </c>
      <c r="C20" s="87" t="n">
        <f aca="false">(DDM!$C$47*(C$14-Assumptions!$B$34)/($B20-Assumptions!$B$34)+DDM!$B$58)/DDM!$B$67</f>
        <v>97.8199314787929</v>
      </c>
      <c r="D20" s="87" t="n">
        <f aca="false">(DDM!$C$47*(D$14-Assumptions!$B$34)/($B20-Assumptions!$B$34)+DDM!$B$58)/DDM!$B$67</f>
        <v>102.296764835614</v>
      </c>
      <c r="E20" s="87" t="n">
        <f aca="false">(DDM!$C$47*(E$14-Assumptions!$B$34)/($B20-Assumptions!$B$34)+DDM!$B$58)/DDM!$B$67</f>
        <v>106.773598192435</v>
      </c>
      <c r="F20" s="87" t="n">
        <f aca="false">(DDM!$C$47*(F$14-Assumptions!$B$34)/($B20-Assumptions!$B$34)+DDM!$B$58)/DDM!$B$67</f>
        <v>111.250431549257</v>
      </c>
      <c r="G20" s="87" t="n">
        <f aca="false">(DDM!$C$47*(G$14-Assumptions!$B$34)/($B20-Assumptions!$B$34)+DDM!$B$58)/DDM!$B$67</f>
        <v>115.727264906078</v>
      </c>
    </row>
    <row r="21" customFormat="false" ht="15" hidden="false" customHeight="false" outlineLevel="0" collapsed="false">
      <c r="B21" s="7" t="n">
        <f aca="false">$B$18+0.015</f>
        <v>0.1329345</v>
      </c>
      <c r="C21" s="87" t="n">
        <f aca="false">(DDM!$C$47*(C$14-Assumptions!$B$34)/($B21-Assumptions!$B$34)+DDM!$B$58)/DDM!$B$67</f>
        <v>93.6576294146209</v>
      </c>
      <c r="D21" s="87" t="n">
        <f aca="false">(DDM!$C$47*(D$14-Assumptions!$B$34)/($B21-Assumptions!$B$34)+DDM!$B$58)/DDM!$B$67</f>
        <v>97.9362579112435</v>
      </c>
      <c r="E21" s="87" t="n">
        <f aca="false">(DDM!$C$47*(E$14-Assumptions!$B$34)/($B21-Assumptions!$B$34)+DDM!$B$58)/DDM!$B$67</f>
        <v>102.214886407866</v>
      </c>
      <c r="F21" s="87" t="n">
        <f aca="false">(DDM!$C$47*(F$14-Assumptions!$B$34)/($B21-Assumptions!$B$34)+DDM!$B$58)/DDM!$B$67</f>
        <v>106.493514904489</v>
      </c>
      <c r="G21" s="87" t="n">
        <f aca="false">(DDM!$C$47*(G$14-Assumptions!$B$34)/($B21-Assumptions!$B$34)+DDM!$B$58)/DDM!$B$67</f>
        <v>110.772143401111</v>
      </c>
    </row>
    <row r="23" customFormat="false" ht="15" hidden="false" customHeight="false" outlineLevel="0" collapsed="false">
      <c r="A23" s="4" t="s">
        <v>389</v>
      </c>
      <c r="C23" s="4" t="s">
        <v>384</v>
      </c>
    </row>
    <row r="24" customFormat="false" ht="15" hidden="false" customHeight="false" outlineLevel="0" collapsed="false">
      <c r="B24" s="85" t="s">
        <v>390</v>
      </c>
      <c r="C24" s="7" t="n">
        <f aca="false">$E$24-0.01</f>
        <v>0.01</v>
      </c>
      <c r="D24" s="7" t="n">
        <f aca="false">$E$24-0.005</f>
        <v>0.015</v>
      </c>
      <c r="E24" s="86" t="n">
        <f aca="false">Assumptions!$B$34</f>
        <v>0.02</v>
      </c>
      <c r="F24" s="7" t="n">
        <f aca="false">$E$24+0.005</f>
        <v>0.025</v>
      </c>
      <c r="G24" s="7" t="n">
        <f aca="false">$E$24+0.01</f>
        <v>0.03</v>
      </c>
    </row>
    <row r="25" customFormat="false" ht="15" hidden="false" customHeight="false" outlineLevel="0" collapsed="false">
      <c r="B25" s="7" t="n">
        <f aca="false">$B$28-0.015</f>
        <v>0.12</v>
      </c>
      <c r="C25" s="89" t="n">
        <f aca="false">C$24+($B25-C$24)*DDM!$C$48/(Data!$B$2-DDM!$B$58/DDM!$B$67)</f>
        <v>0.14335878784969</v>
      </c>
      <c r="D25" s="89" t="n">
        <f aca="false">D$24+($B25-D$24)*DDM!$C$48/(Data!$B$2-DDM!$B$58/DDM!$B$67)</f>
        <v>0.142297024765613</v>
      </c>
      <c r="E25" s="89" t="n">
        <f aca="false">E$24+($B25-E$24)*DDM!$C$48/(Data!$B$2-DDM!$B$58/DDM!$B$67)</f>
        <v>0.141235261681536</v>
      </c>
      <c r="F25" s="89" t="n">
        <f aca="false">F$24+($B25-F$24)*DDM!$C$48/(Data!$B$2-DDM!$B$58/DDM!$B$67)</f>
        <v>0.14017349859746</v>
      </c>
      <c r="G25" s="89" t="n">
        <f aca="false">G$24+($B25-G$24)*DDM!$C$48/(Data!$B$2-DDM!$B$58/DDM!$B$67)</f>
        <v>0.139111735513383</v>
      </c>
    </row>
    <row r="26" customFormat="false" ht="15" hidden="false" customHeight="false" outlineLevel="0" collapsed="false">
      <c r="B26" s="7" t="n">
        <f aca="false">$B$28-0.01</f>
        <v>0.125</v>
      </c>
      <c r="C26" s="89" t="n">
        <f aca="false">C$24+($B26-C$24)*DDM!$C$48/(Data!$B$2-DDM!$B$58/DDM!$B$67)</f>
        <v>0.149420550933767</v>
      </c>
      <c r="D26" s="89" t="n">
        <f aca="false">D$24+($B26-D$24)*DDM!$C$48/(Data!$B$2-DDM!$B$58/DDM!$B$67)</f>
        <v>0.14835878784969</v>
      </c>
      <c r="E26" s="89" t="n">
        <f aca="false">E$24+($B26-E$24)*DDM!$C$48/(Data!$B$2-DDM!$B$58/DDM!$B$67)</f>
        <v>0.147297024765613</v>
      </c>
      <c r="F26" s="89" t="n">
        <f aca="false">F$24+($B26-F$24)*DDM!$C$48/(Data!$B$2-DDM!$B$58/DDM!$B$67)</f>
        <v>0.146235261681536</v>
      </c>
      <c r="G26" s="89" t="n">
        <f aca="false">G$24+($B26-G$24)*DDM!$C$48/(Data!$B$2-DDM!$B$58/DDM!$B$67)</f>
        <v>0.14517349859746</v>
      </c>
    </row>
    <row r="27" customFormat="false" ht="15" hidden="false" customHeight="false" outlineLevel="0" collapsed="false">
      <c r="B27" s="7" t="n">
        <f aca="false">$B$28-0.005</f>
        <v>0.13</v>
      </c>
      <c r="C27" s="89" t="n">
        <f aca="false">C$24+($B27-C$24)*DDM!$C$48/(Data!$B$2-DDM!$B$58/DDM!$B$67)</f>
        <v>0.155482314017844</v>
      </c>
      <c r="D27" s="89" t="n">
        <f aca="false">D$24+($B27-D$24)*DDM!$C$48/(Data!$B$2-DDM!$B$58/DDM!$B$67)</f>
        <v>0.154420550933767</v>
      </c>
      <c r="E27" s="89" t="n">
        <f aca="false">E$24+($B27-E$24)*DDM!$C$48/(Data!$B$2-DDM!$B$58/DDM!$B$67)</f>
        <v>0.15335878784969</v>
      </c>
      <c r="F27" s="89" t="n">
        <f aca="false">F$24+($B27-F$24)*DDM!$C$48/(Data!$B$2-DDM!$B$58/DDM!$B$67)</f>
        <v>0.152297024765613</v>
      </c>
      <c r="G27" s="89" t="n">
        <f aca="false">G$24+($B27-G$24)*DDM!$C$48/(Data!$B$2-DDM!$B$58/DDM!$B$67)</f>
        <v>0.151235261681536</v>
      </c>
    </row>
    <row r="28" customFormat="false" ht="15" hidden="false" customHeight="false" outlineLevel="0" collapsed="false">
      <c r="B28" s="86" t="n">
        <f aca="false">Assumptions!$B$33</f>
        <v>0.135</v>
      </c>
      <c r="C28" s="89" t="n">
        <f aca="false">C$24+($B28-C$24)*DDM!$C$48/(Data!$B$2-DDM!$B$58/DDM!$B$67)</f>
        <v>0.161544077101921</v>
      </c>
      <c r="D28" s="89" t="n">
        <f aca="false">D$24+($B28-D$24)*DDM!$C$48/(Data!$B$2-DDM!$B$58/DDM!$B$67)</f>
        <v>0.160482314017844</v>
      </c>
      <c r="E28" s="90" t="n">
        <f aca="false">E$24+($B28-E$24)*DDM!$C$48/(Data!$B$2-DDM!$B$58/DDM!$B$67)</f>
        <v>0.159420550933767</v>
      </c>
      <c r="F28" s="89" t="n">
        <f aca="false">F$24+($B28-F$24)*DDM!$C$48/(Data!$B$2-DDM!$B$58/DDM!$B$67)</f>
        <v>0.15835878784969</v>
      </c>
      <c r="G28" s="89" t="n">
        <f aca="false">G$24+($B28-G$24)*DDM!$C$48/(Data!$B$2-DDM!$B$58/DDM!$B$67)</f>
        <v>0.157297024765613</v>
      </c>
    </row>
    <row r="29" customFormat="false" ht="15" hidden="false" customHeight="false" outlineLevel="0" collapsed="false">
      <c r="B29" s="7" t="n">
        <f aca="false">$B$28+0.005</f>
        <v>0.14</v>
      </c>
      <c r="C29" s="89" t="n">
        <f aca="false">C$24+($B29-C$24)*DDM!$C$48/(Data!$B$2-DDM!$B$58/DDM!$B$67)</f>
        <v>0.167605840185997</v>
      </c>
      <c r="D29" s="89" t="n">
        <f aca="false">D$24+($B29-D$24)*DDM!$C$48/(Data!$B$2-DDM!$B$58/DDM!$B$67)</f>
        <v>0.166544077101921</v>
      </c>
      <c r="E29" s="89" t="n">
        <f aca="false">E$24+($B29-E$24)*DDM!$C$48/(Data!$B$2-DDM!$B$58/DDM!$B$67)</f>
        <v>0.165482314017844</v>
      </c>
      <c r="F29" s="89" t="n">
        <f aca="false">F$24+($B29-F$24)*DDM!$C$48/(Data!$B$2-DDM!$B$58/DDM!$B$67)</f>
        <v>0.164420550933767</v>
      </c>
      <c r="G29" s="89" t="n">
        <f aca="false">G$24+($B29-G$24)*DDM!$C$48/(Data!$B$2-DDM!$B$58/DDM!$B$67)</f>
        <v>0.16335878784969</v>
      </c>
    </row>
    <row r="30" customFormat="false" ht="15" hidden="false" customHeight="false" outlineLevel="0" collapsed="false">
      <c r="B30" s="7" t="n">
        <f aca="false">$B$28+0.01</f>
        <v>0.145</v>
      </c>
      <c r="C30" s="89" t="n">
        <f aca="false">C$24+($B30-C$24)*DDM!$C$48/(Data!$B$2-DDM!$B$58/DDM!$B$67)</f>
        <v>0.173667603270074</v>
      </c>
      <c r="D30" s="89" t="n">
        <f aca="false">D$24+($B30-D$24)*DDM!$C$48/(Data!$B$2-DDM!$B$58/DDM!$B$67)</f>
        <v>0.172605840185997</v>
      </c>
      <c r="E30" s="89" t="n">
        <f aca="false">E$24+($B30-E$24)*DDM!$C$48/(Data!$B$2-DDM!$B$58/DDM!$B$67)</f>
        <v>0.171544077101921</v>
      </c>
      <c r="F30" s="89" t="n">
        <f aca="false">F$24+($B30-F$24)*DDM!$C$48/(Data!$B$2-DDM!$B$58/DDM!$B$67)</f>
        <v>0.170482314017844</v>
      </c>
      <c r="G30" s="89" t="n">
        <f aca="false">G$24+($B30-G$24)*DDM!$C$48/(Data!$B$2-DDM!$B$58/DDM!$B$67)</f>
        <v>0.169420550933767</v>
      </c>
    </row>
    <row r="31" customFormat="false" ht="15" hidden="false" customHeight="false" outlineLevel="0" collapsed="false">
      <c r="B31" s="7" t="n">
        <f aca="false">$B$28+0.015</f>
        <v>0.15</v>
      </c>
      <c r="C31" s="89" t="n">
        <f aca="false">C$24+($B31-C$24)*DDM!$C$48/(Data!$B$2-DDM!$B$58/DDM!$B$67)</f>
        <v>0.179729366354151</v>
      </c>
      <c r="D31" s="89" t="n">
        <f aca="false">D$24+($B31-D$24)*DDM!$C$48/(Data!$B$2-DDM!$B$58/DDM!$B$67)</f>
        <v>0.178667603270074</v>
      </c>
      <c r="E31" s="89" t="n">
        <f aca="false">E$24+($B31-E$24)*DDM!$C$48/(Data!$B$2-DDM!$B$58/DDM!$B$67)</f>
        <v>0.177605840185997</v>
      </c>
      <c r="F31" s="89" t="n">
        <f aca="false">F$24+($B31-F$24)*DDM!$C$48/(Data!$B$2-DDM!$B$58/DDM!$B$67)</f>
        <v>0.176544077101921</v>
      </c>
      <c r="G31" s="89" t="n">
        <f aca="false">G$24+($B31-G$24)*DDM!$C$48/(Data!$B$2-DDM!$B$58/DDM!$B$67)</f>
        <v>0.175482314017844</v>
      </c>
    </row>
    <row r="33" customFormat="false" ht="15" hidden="false" customHeight="false" outlineLevel="0" collapsed="false">
      <c r="A33" s="8" t="s">
        <v>391</v>
      </c>
    </row>
    <row r="34" customFormat="false" ht="23.85" hidden="false" customHeight="false" outlineLevel="0" collapsed="false">
      <c r="A34" s="22" t="s">
        <v>392</v>
      </c>
      <c r="B34" s="23" t="s">
        <v>393</v>
      </c>
      <c r="C34" s="23" t="s">
        <v>323</v>
      </c>
      <c r="D34" s="23" t="s">
        <v>21</v>
      </c>
      <c r="E34" s="23" t="s">
        <v>373</v>
      </c>
      <c r="F34" s="23" t="s">
        <v>394</v>
      </c>
      <c r="G34" s="23" t="s">
        <v>395</v>
      </c>
    </row>
    <row r="35" customFormat="false" ht="15" hidden="false" customHeight="false" outlineLevel="0" collapsed="false">
      <c r="A35" s="2" t="s">
        <v>396</v>
      </c>
      <c r="B35" s="19" t="n">
        <f aca="false">Cost_of_Equity!$B$9+0.01</f>
        <v>0.1279345</v>
      </c>
      <c r="C35" s="40" t="n">
        <v>0.12</v>
      </c>
      <c r="D35" s="58" t="n">
        <f aca="false">(DDM!$B$58+SUMPRODUCT(DDM!$D$55:$H$55,(1+$B35)^(-DDM!$D$52:$H$52))+DDM!$H$47*($C35-Assumptions!$B$34)/($B35-Assumptions!$B$34)*(1+$B35)^(-DDM!$H$52))/DDM!$B$67</f>
        <v>100.944975213883</v>
      </c>
      <c r="E35" s="58" t="n">
        <f aca="false">(DDM!$C$47*($C35-Assumptions!$B$34)/($B35-Assumptions!$B$34)+DDM!$B$58)/DDM!$B$67</f>
        <v>93.3430981219717</v>
      </c>
      <c r="F35" s="6" t="n">
        <f aca="false">AVERAGE(D35:E35)</f>
        <v>97.1440366679272</v>
      </c>
      <c r="G35" s="51" t="n">
        <f aca="false">F35/Data!$B$2-1</f>
        <v>0.163123044395679</v>
      </c>
    </row>
    <row r="36" customFormat="false" ht="15" hidden="false" customHeight="false" outlineLevel="0" collapsed="false">
      <c r="A36" s="4" t="s">
        <v>397</v>
      </c>
      <c r="B36" s="19" t="n">
        <f aca="false">Cost_of_Equity!$B$9</f>
        <v>0.1179345</v>
      </c>
      <c r="C36" s="19" t="n">
        <f aca="false">Assumptions!$B$33</f>
        <v>0.135</v>
      </c>
      <c r="D36" s="58" t="n">
        <f aca="false">(DDM!$B$58+SUMPRODUCT(DDM!$D$55:$H$55,(1+$B36)^(-DDM!$D$52:$H$52))+DDM!$H$47*($C36-Assumptions!$B$34)/($B36-Assumptions!$B$34)*(1+$B36)^(-DDM!$H$52))/DDM!$B$67</f>
        <v>120.518587106481</v>
      </c>
      <c r="E36" s="58" t="n">
        <f aca="false">(DDM!$C$47*($C36-Assumptions!$B$34)/($B36-Assumptions!$B$34)+DDM!$B$58)/DDM!$B$67</f>
        <v>117.287479123761</v>
      </c>
      <c r="F36" s="6" t="n">
        <f aca="false">AVERAGE(D36:E36)</f>
        <v>118.903033115121</v>
      </c>
      <c r="G36" s="51" t="n">
        <f aca="false">F36/Data!$B$2-1</f>
        <v>0.423647427144649</v>
      </c>
    </row>
    <row r="37" customFormat="false" ht="15" hidden="false" customHeight="false" outlineLevel="0" collapsed="false">
      <c r="A37" s="2" t="s">
        <v>398</v>
      </c>
      <c r="B37" s="19" t="n">
        <f aca="false">Cost_of_Equity!$B$9-0.005</f>
        <v>0.1129345</v>
      </c>
      <c r="C37" s="40" t="n">
        <v>0.145</v>
      </c>
      <c r="D37" s="58" t="n">
        <f aca="false">(DDM!$B$58+SUMPRODUCT(DDM!$D$55:$H$55,(1+$B37)^(-DDM!$D$52:$H$52))+DDM!$H$47*($C37-Assumptions!$B$34)/($B37-Assumptions!$B$34)*(1+$B37)^(-DDM!$H$52))/DDM!$B$67</f>
        <v>133.995935371402</v>
      </c>
      <c r="E37" s="58" t="n">
        <f aca="false">(DDM!$C$47*($C37-Assumptions!$B$34)/($B37-Assumptions!$B$34)+DDM!$B$58)/DDM!$B$67</f>
        <v>133.791735138424</v>
      </c>
      <c r="F37" s="6" t="n">
        <f aca="false">AVERAGE(D37:E37)</f>
        <v>133.893835254913</v>
      </c>
      <c r="G37" s="51" t="n">
        <f aca="false">F37/Data!$B$2-1</f>
        <v>0.603135000657482</v>
      </c>
    </row>
    <row r="39" customFormat="false" ht="15" hidden="false" customHeight="false" outlineLevel="0" collapsed="false">
      <c r="A39" s="21" t="s">
        <v>399</v>
      </c>
      <c r="E39" s="84" t="n">
        <f aca="false">E8-DDM!B68</f>
        <v>0</v>
      </c>
      <c r="F39" s="84" t="n">
        <f aca="false">E18-DDM!B77</f>
        <v>0</v>
      </c>
      <c r="G39" s="91" t="n">
        <f aca="false">E28-Cost_of_Equity!B14</f>
        <v>0</v>
      </c>
    </row>
  </sheetData>
  <conditionalFormatting sqref="C5:G11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C15:G21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C25:G31">
    <cfRule type="colorScale" priority="4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26"/>
    <col collapsed="false" customWidth="true" hidden="false" outlineLevel="0" max="10" min="10" style="0" width="58"/>
  </cols>
  <sheetData>
    <row r="1" customFormat="false" ht="16.15" hidden="false" customHeight="false" outlineLevel="0" collapsed="false">
      <c r="B1" s="44" t="s">
        <v>400</v>
      </c>
    </row>
    <row r="3" customFormat="false" ht="30" hidden="false" customHeight="true" outlineLevel="0" collapsed="false">
      <c r="A3" s="22" t="s">
        <v>401</v>
      </c>
      <c r="B3" s="23" t="s">
        <v>3</v>
      </c>
      <c r="C3" s="23" t="s">
        <v>402</v>
      </c>
      <c r="D3" s="23" t="s">
        <v>403</v>
      </c>
      <c r="E3" s="23" t="s">
        <v>404</v>
      </c>
      <c r="F3" s="23" t="s">
        <v>405</v>
      </c>
      <c r="G3" s="23" t="s">
        <v>406</v>
      </c>
      <c r="H3" s="23" t="s">
        <v>282</v>
      </c>
      <c r="I3" s="23" t="s">
        <v>407</v>
      </c>
      <c r="J3" s="23" t="s">
        <v>278</v>
      </c>
    </row>
    <row r="4" customFormat="false" ht="15" hidden="false" customHeight="false" outlineLevel="0" collapsed="false">
      <c r="A4" s="2" t="s">
        <v>408</v>
      </c>
      <c r="B4" s="26" t="s">
        <v>409</v>
      </c>
      <c r="C4" s="24" t="n">
        <v>62.8</v>
      </c>
      <c r="D4" s="92" t="s">
        <v>410</v>
      </c>
      <c r="E4" s="24" t="n">
        <v>74.5</v>
      </c>
      <c r="F4" s="92" t="s">
        <v>411</v>
      </c>
      <c r="G4" s="63" t="n">
        <f aca="false">C4/E4</f>
        <v>0.842953020134228</v>
      </c>
      <c r="H4" s="40" t="n">
        <v>0.11</v>
      </c>
      <c r="I4" s="93" t="s">
        <v>412</v>
      </c>
      <c r="J4" s="21" t="s">
        <v>413</v>
      </c>
    </row>
    <row r="5" customFormat="false" ht="15" hidden="false" customHeight="false" outlineLevel="0" collapsed="false">
      <c r="A5" s="2" t="s">
        <v>414</v>
      </c>
      <c r="B5" s="26" t="s">
        <v>415</v>
      </c>
      <c r="C5" s="24" t="n">
        <v>29.86</v>
      </c>
      <c r="D5" s="92" t="s">
        <v>416</v>
      </c>
      <c r="E5" s="24" t="n">
        <v>31.2</v>
      </c>
      <c r="F5" s="92" t="s">
        <v>411</v>
      </c>
      <c r="G5" s="63" t="n">
        <f aca="false">C5/E5</f>
        <v>0.957051282051282</v>
      </c>
      <c r="H5" s="40" t="n">
        <v>0.119</v>
      </c>
      <c r="I5" s="93" t="s">
        <v>417</v>
      </c>
      <c r="J5" s="21" t="s">
        <v>418</v>
      </c>
    </row>
    <row r="6" customFormat="false" ht="15" hidden="false" customHeight="false" outlineLevel="0" collapsed="false">
      <c r="A6" s="2" t="s">
        <v>419</v>
      </c>
      <c r="B6" s="26" t="s">
        <v>420</v>
      </c>
      <c r="C6" s="24" t="n">
        <v>37.83</v>
      </c>
      <c r="D6" s="92" t="s">
        <v>421</v>
      </c>
      <c r="E6" s="24" t="n">
        <v>30.96</v>
      </c>
      <c r="F6" s="92" t="s">
        <v>422</v>
      </c>
      <c r="G6" s="63" t="n">
        <f aca="false">C6/E6</f>
        <v>1.2218992248062</v>
      </c>
      <c r="H6" s="40" t="n">
        <v>0.127</v>
      </c>
      <c r="I6" s="93" t="s">
        <v>423</v>
      </c>
      <c r="J6" s="21" t="s">
        <v>424</v>
      </c>
    </row>
    <row r="7" customFormat="false" ht="15" hidden="false" customHeight="false" outlineLevel="0" collapsed="false">
      <c r="A7" s="2" t="s">
        <v>425</v>
      </c>
      <c r="B7" s="26" t="s">
        <v>426</v>
      </c>
      <c r="C7" s="24" t="n">
        <v>12.178</v>
      </c>
      <c r="D7" s="92" t="s">
        <v>427</v>
      </c>
      <c r="E7" s="24" t="n">
        <v>6.13</v>
      </c>
      <c r="F7" s="92" t="s">
        <v>428</v>
      </c>
      <c r="G7" s="63" t="n">
        <f aca="false">C7/E7</f>
        <v>1.98662316476346</v>
      </c>
      <c r="H7" s="40" t="n">
        <v>0.156</v>
      </c>
      <c r="I7" s="93" t="s">
        <v>417</v>
      </c>
      <c r="J7" s="21" t="s">
        <v>429</v>
      </c>
    </row>
    <row r="8" customFormat="false" ht="15" hidden="false" customHeight="false" outlineLevel="0" collapsed="false">
      <c r="A8" s="2" t="s">
        <v>430</v>
      </c>
      <c r="B8" s="26" t="s">
        <v>431</v>
      </c>
      <c r="C8" s="24" t="n">
        <v>22.71</v>
      </c>
      <c r="D8" s="92" t="s">
        <v>432</v>
      </c>
      <c r="E8" s="24" t="n">
        <v>10.14</v>
      </c>
      <c r="F8" s="92" t="s">
        <v>411</v>
      </c>
      <c r="G8" s="63" t="n">
        <f aca="false">C8/E8</f>
        <v>2.2396449704142</v>
      </c>
      <c r="H8" s="40" t="n">
        <v>0.222</v>
      </c>
      <c r="I8" s="93" t="s">
        <v>417</v>
      </c>
      <c r="J8" s="21" t="s">
        <v>433</v>
      </c>
    </row>
    <row r="9" customFormat="false" ht="15" hidden="false" customHeight="false" outlineLevel="0" collapsed="false">
      <c r="A9" s="2" t="s">
        <v>434</v>
      </c>
      <c r="B9" s="26" t="s">
        <v>435</v>
      </c>
      <c r="C9" s="24" t="n">
        <v>71.27</v>
      </c>
      <c r="D9" s="92" t="s">
        <v>436</v>
      </c>
      <c r="E9" s="24" t="n">
        <v>44.2</v>
      </c>
      <c r="F9" s="92" t="s">
        <v>411</v>
      </c>
      <c r="G9" s="63" t="n">
        <f aca="false">C9/E9</f>
        <v>1.61244343891403</v>
      </c>
      <c r="H9" s="40" t="n">
        <v>0.237</v>
      </c>
      <c r="I9" s="93" t="s">
        <v>417</v>
      </c>
      <c r="J9" s="21" t="s">
        <v>437</v>
      </c>
    </row>
    <row r="10" customFormat="false" ht="15" hidden="false" customHeight="false" outlineLevel="0" collapsed="false">
      <c r="A10" s="2" t="s">
        <v>438</v>
      </c>
      <c r="B10" s="26" t="s">
        <v>439</v>
      </c>
      <c r="C10" s="24" t="n">
        <v>6.69</v>
      </c>
      <c r="D10" s="92" t="s">
        <v>440</v>
      </c>
      <c r="E10" s="24" t="n">
        <v>3.38</v>
      </c>
      <c r="F10" s="92" t="s">
        <v>422</v>
      </c>
      <c r="G10" s="63" t="n">
        <f aca="false">C10/E10</f>
        <v>1.9792899408284</v>
      </c>
      <c r="H10" s="40" t="n">
        <v>0.25</v>
      </c>
      <c r="I10" s="93" t="s">
        <v>417</v>
      </c>
      <c r="J10" s="21" t="s">
        <v>441</v>
      </c>
    </row>
    <row r="12" customFormat="false" ht="15" hidden="false" customHeight="false" outlineLevel="0" collapsed="false">
      <c r="A12" s="94" t="s">
        <v>442</v>
      </c>
      <c r="B12" s="95" t="s">
        <v>67</v>
      </c>
      <c r="C12" s="96" t="n">
        <f aca="false">Data!$B$2</f>
        <v>83.52</v>
      </c>
      <c r="D12" s="97" t="s">
        <v>432</v>
      </c>
      <c r="E12" s="96" t="n">
        <f aca="false">Data!$B$22</f>
        <v>98.4</v>
      </c>
      <c r="F12" s="97" t="s">
        <v>411</v>
      </c>
      <c r="G12" s="98" t="n">
        <f aca="false">C12/E12</f>
        <v>0.848780487804878</v>
      </c>
      <c r="H12" s="99" t="n">
        <f aca="false">DDM!C49</f>
        <v>0.125024848558579</v>
      </c>
      <c r="I12" s="100" t="s">
        <v>443</v>
      </c>
      <c r="J12" s="101" t="s">
        <v>444</v>
      </c>
    </row>
    <row r="14" customFormat="false" ht="15" hidden="false" customHeight="false" outlineLevel="0" collapsed="false">
      <c r="A14" s="8" t="s">
        <v>445</v>
      </c>
    </row>
    <row r="15" customFormat="false" ht="15" hidden="false" customHeight="false" outlineLevel="0" collapsed="false">
      <c r="A15" s="2" t="s">
        <v>446</v>
      </c>
      <c r="B15" s="63" t="n">
        <f aca="false">MEDIAN(G4:G10)</f>
        <v>1.61244343891403</v>
      </c>
    </row>
    <row r="16" customFormat="false" ht="15" hidden="false" customHeight="false" outlineLevel="0" collapsed="false">
      <c r="A16" s="2" t="s">
        <v>447</v>
      </c>
      <c r="B16" s="63" t="n">
        <f aca="false">AVERAGE(G4:G10)</f>
        <v>1.54855786313026</v>
      </c>
    </row>
    <row r="17" customFormat="false" ht="15" hidden="false" customHeight="false" outlineLevel="0" collapsed="false">
      <c r="A17" s="2" t="s">
        <v>448</v>
      </c>
      <c r="B17" s="51" t="n">
        <f aca="false">MEDIAN(H4:H10)</f>
        <v>0.156</v>
      </c>
    </row>
    <row r="18" customFormat="false" ht="15" hidden="false" customHeight="false" outlineLevel="0" collapsed="false">
      <c r="A18" s="8" t="s">
        <v>449</v>
      </c>
    </row>
    <row r="19" customFormat="false" ht="15" hidden="false" customHeight="false" outlineLevel="0" collapsed="false">
      <c r="A19" s="2" t="s">
        <v>450</v>
      </c>
      <c r="B19" s="102" t="n">
        <f aca="false">SLOPE(G4:G10,H4:H10)</f>
        <v>7.1465304892564</v>
      </c>
    </row>
    <row r="20" customFormat="false" ht="15" hidden="false" customHeight="false" outlineLevel="0" collapsed="false">
      <c r="A20" s="2" t="s">
        <v>451</v>
      </c>
      <c r="B20" s="63" t="n">
        <f aca="false">INTERCEPT(G4:G10,H4:H10)</f>
        <v>0.301998759218533</v>
      </c>
    </row>
    <row r="21" customFormat="false" ht="15" hidden="false" customHeight="false" outlineLevel="0" collapsed="false">
      <c r="A21" s="2" t="s">
        <v>452</v>
      </c>
      <c r="B21" s="102" t="n">
        <f aca="false">RSQ(G4:G10,H4:H10)</f>
        <v>0.611150625193985</v>
      </c>
    </row>
    <row r="22" customFormat="false" ht="15" hidden="false" customHeight="false" outlineLevel="0" collapsed="false">
      <c r="A22" s="2" t="s">
        <v>453</v>
      </c>
      <c r="B22" s="63" t="n">
        <f aca="false">B20+B19*H12</f>
        <v>1.19549265135708</v>
      </c>
    </row>
    <row r="23" customFormat="false" ht="15" hidden="false" customHeight="false" outlineLevel="0" collapsed="false">
      <c r="A23" s="2" t="s">
        <v>454</v>
      </c>
      <c r="B23" s="51" t="n">
        <f aca="false">G12/B22-1</f>
        <v>-0.290016139504185</v>
      </c>
    </row>
    <row r="24" customFormat="false" ht="15" hidden="false" customHeight="false" outlineLevel="0" collapsed="false">
      <c r="A24" s="8" t="s">
        <v>455</v>
      </c>
    </row>
    <row r="25" customFormat="false" ht="15" hidden="false" customHeight="false" outlineLevel="0" collapsed="false">
      <c r="A25" s="2" t="s">
        <v>456</v>
      </c>
      <c r="B25" s="63" t="n">
        <f aca="false">B20+B19*H4</f>
        <v>1.08811711303674</v>
      </c>
    </row>
    <row r="26" customFormat="false" ht="15" hidden="false" customHeight="false" outlineLevel="0" collapsed="false">
      <c r="A26" s="2" t="s">
        <v>457</v>
      </c>
      <c r="B26" s="51" t="n">
        <f aca="false">G4/B25-1</f>
        <v>-0.225310391652881</v>
      </c>
    </row>
    <row r="27" customFormat="false" ht="15" hidden="false" customHeight="false" outlineLevel="0" collapsed="false">
      <c r="A27" s="2" t="s">
        <v>458</v>
      </c>
      <c r="B27" s="40" t="n">
        <v>0.46</v>
      </c>
    </row>
    <row r="28" customFormat="false" ht="15" hidden="false" customHeight="false" outlineLevel="0" collapsed="false">
      <c r="A28" s="2" t="s">
        <v>459</v>
      </c>
      <c r="B28" s="19" t="n">
        <f aca="false">Data!$B$35</f>
        <v>0.26</v>
      </c>
    </row>
    <row r="29" customFormat="false" ht="15" hidden="false" customHeight="false" outlineLevel="0" collapsed="false">
      <c r="A29" s="2" t="s">
        <v>460</v>
      </c>
      <c r="B29" s="51" t="n">
        <f aca="false">B26*B28/B27</f>
        <v>-0.127349351803802</v>
      </c>
    </row>
    <row r="30" customFormat="false" ht="15" hidden="false" customHeight="false" outlineLevel="0" collapsed="false">
      <c r="A30" s="4" t="s">
        <v>461</v>
      </c>
      <c r="B30" s="98" t="n">
        <f aca="false">B22*(1+B29)</f>
        <v>1.04324743712055</v>
      </c>
    </row>
    <row r="31" customFormat="false" ht="15" hidden="false" customHeight="false" outlineLevel="0" collapsed="false">
      <c r="A31" s="2" t="s">
        <v>462</v>
      </c>
      <c r="B31" s="5" t="n">
        <f aca="false">Data!$B$22</f>
        <v>98.4</v>
      </c>
    </row>
    <row r="32" customFormat="false" ht="15" hidden="false" customHeight="false" outlineLevel="0" collapsed="false">
      <c r="A32" s="4" t="s">
        <v>375</v>
      </c>
      <c r="B32" s="103" t="n">
        <f aca="false">B30*B31</f>
        <v>102.655547812662</v>
      </c>
    </row>
    <row r="33" customFormat="false" ht="15" hidden="false" customHeight="false" outlineLevel="0" collapsed="false">
      <c r="A33" s="2" t="s">
        <v>463</v>
      </c>
      <c r="B33" s="58" t="n">
        <f aca="false">B22*(1+B26)*B31</f>
        <v>91.1317562119889</v>
      </c>
    </row>
    <row r="34" customFormat="false" ht="15" hidden="false" customHeight="false" outlineLevel="0" collapsed="false">
      <c r="A34" s="2" t="s">
        <v>464</v>
      </c>
      <c r="B34" s="58" t="n">
        <f aca="false">B22*B31</f>
        <v>117.636476893537</v>
      </c>
    </row>
    <row r="36" customFormat="false" ht="15" hidden="false" customHeight="false" outlineLevel="0" collapsed="false">
      <c r="A36" s="21" t="s">
        <v>465</v>
      </c>
    </row>
    <row r="37" customFormat="false" ht="15" hidden="false" customHeight="false" outlineLevel="0" collapsed="false">
      <c r="A37" s="21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34"/>
  </cols>
  <sheetData>
    <row r="1" customFormat="false" ht="16.15" hidden="false" customHeight="false" outlineLevel="0" collapsed="false">
      <c r="B1" s="44" t="s">
        <v>467</v>
      </c>
    </row>
    <row r="3" customFormat="false" ht="30" hidden="false" customHeight="true" outlineLevel="0" collapsed="false">
      <c r="A3" s="22" t="s">
        <v>468</v>
      </c>
      <c r="B3" s="23" t="s">
        <v>469</v>
      </c>
      <c r="C3" s="23" t="s">
        <v>470</v>
      </c>
      <c r="D3" s="23" t="s">
        <v>471</v>
      </c>
      <c r="E3" s="23" t="s">
        <v>472</v>
      </c>
      <c r="F3" s="23" t="s">
        <v>473</v>
      </c>
      <c r="G3" s="23" t="s">
        <v>474</v>
      </c>
      <c r="H3" s="23" t="s">
        <v>475</v>
      </c>
      <c r="I3" s="23" t="s">
        <v>476</v>
      </c>
      <c r="J3" s="23" t="s">
        <v>278</v>
      </c>
    </row>
    <row r="4" customFormat="false" ht="15" hidden="false" customHeight="false" outlineLevel="0" collapsed="false">
      <c r="A4" s="92" t="s">
        <v>477</v>
      </c>
      <c r="B4" s="2" t="s">
        <v>425</v>
      </c>
      <c r="C4" s="2" t="s">
        <v>478</v>
      </c>
      <c r="D4" s="37" t="n">
        <v>12300</v>
      </c>
      <c r="E4" s="26" t="s">
        <v>479</v>
      </c>
      <c r="F4" s="104" t="n">
        <v>2</v>
      </c>
      <c r="G4" s="40" t="n">
        <v>0.17</v>
      </c>
      <c r="H4" s="105" t="n">
        <f aca="false">F4/(G4*100)</f>
        <v>0.117647058823529</v>
      </c>
      <c r="I4" s="93" t="s">
        <v>480</v>
      </c>
      <c r="J4" s="21" t="s">
        <v>481</v>
      </c>
    </row>
    <row r="5" customFormat="false" ht="15" hidden="false" customHeight="false" outlineLevel="0" collapsed="false">
      <c r="A5" s="92" t="s">
        <v>428</v>
      </c>
      <c r="B5" s="2" t="s">
        <v>434</v>
      </c>
      <c r="C5" s="2" t="s">
        <v>482</v>
      </c>
      <c r="D5" s="37" t="n">
        <v>35000</v>
      </c>
      <c r="E5" s="26" t="s">
        <v>54</v>
      </c>
      <c r="F5" s="104" t="n">
        <v>1</v>
      </c>
      <c r="G5" s="40" t="n">
        <v>0.112</v>
      </c>
      <c r="H5" s="105" t="n">
        <f aca="false">F5/(G5*100)</f>
        <v>0.0892857142857143</v>
      </c>
      <c r="I5" s="93" t="s">
        <v>483</v>
      </c>
      <c r="J5" s="21" t="s">
        <v>484</v>
      </c>
    </row>
    <row r="6" customFormat="false" ht="15" hidden="false" customHeight="false" outlineLevel="0" collapsed="false">
      <c r="A6" s="92" t="s">
        <v>485</v>
      </c>
      <c r="B6" s="2" t="s">
        <v>425</v>
      </c>
      <c r="C6" s="2" t="s">
        <v>486</v>
      </c>
      <c r="D6" s="37" t="n">
        <v>2650</v>
      </c>
      <c r="E6" s="26" t="s">
        <v>487</v>
      </c>
      <c r="F6" s="104" t="n">
        <v>1.45</v>
      </c>
      <c r="G6" s="40" t="n">
        <v>0.106</v>
      </c>
      <c r="H6" s="105" t="n">
        <f aca="false">F6/(G6*100)</f>
        <v>0.136792452830189</v>
      </c>
      <c r="I6" s="93" t="s">
        <v>488</v>
      </c>
      <c r="J6" s="21" t="s">
        <v>489</v>
      </c>
    </row>
    <row r="7" customFormat="false" ht="15" hidden="false" customHeight="false" outlineLevel="0" collapsed="false">
      <c r="A7" s="92" t="s">
        <v>490</v>
      </c>
      <c r="B7" s="2" t="s">
        <v>491</v>
      </c>
      <c r="C7" s="2" t="s">
        <v>492</v>
      </c>
      <c r="D7" s="37" t="n">
        <v>6400</v>
      </c>
      <c r="E7" s="26" t="s">
        <v>54</v>
      </c>
      <c r="F7" s="104" t="n">
        <v>1.7</v>
      </c>
      <c r="G7" s="40" t="n">
        <v>0.2</v>
      </c>
      <c r="H7" s="105" t="n">
        <f aca="false">F7/(G7*100)</f>
        <v>0.085</v>
      </c>
      <c r="I7" s="93" t="s">
        <v>493</v>
      </c>
      <c r="J7" s="21" t="s">
        <v>494</v>
      </c>
    </row>
    <row r="8" customFormat="false" ht="15" hidden="false" customHeight="false" outlineLevel="0" collapsed="false">
      <c r="A8" s="92" t="s">
        <v>495</v>
      </c>
      <c r="B8" s="2" t="s">
        <v>496</v>
      </c>
      <c r="C8" s="2" t="s">
        <v>497</v>
      </c>
      <c r="D8" s="37" t="n">
        <v>13900</v>
      </c>
      <c r="E8" s="26" t="s">
        <v>54</v>
      </c>
      <c r="F8" s="104" t="n">
        <v>2.2</v>
      </c>
      <c r="G8" s="40" t="n">
        <v>0.16</v>
      </c>
      <c r="H8" s="105" t="n">
        <f aca="false">F8/(G8*100)</f>
        <v>0.1375</v>
      </c>
      <c r="I8" s="93" t="s">
        <v>498</v>
      </c>
      <c r="J8" s="21" t="s">
        <v>499</v>
      </c>
    </row>
    <row r="9" customFormat="false" ht="15" hidden="false" customHeight="false" outlineLevel="0" collapsed="false">
      <c r="A9" s="92" t="s">
        <v>500</v>
      </c>
      <c r="B9" s="2" t="s">
        <v>501</v>
      </c>
      <c r="C9" s="2" t="s">
        <v>502</v>
      </c>
      <c r="D9" s="37" t="n">
        <v>13300</v>
      </c>
      <c r="E9" s="26" t="s">
        <v>54</v>
      </c>
      <c r="F9" s="104" t="n">
        <v>1.3</v>
      </c>
      <c r="G9" s="40" t="n">
        <v>0.14</v>
      </c>
      <c r="H9" s="105" t="n">
        <f aca="false">F9/(G9*100)</f>
        <v>0.0928571428571429</v>
      </c>
      <c r="I9" s="93" t="s">
        <v>503</v>
      </c>
      <c r="J9" s="21" t="s">
        <v>504</v>
      </c>
    </row>
    <row r="10" customFormat="false" ht="15" hidden="false" customHeight="false" outlineLevel="0" collapsed="false">
      <c r="A10" s="92" t="s">
        <v>505</v>
      </c>
      <c r="B10" s="2" t="s">
        <v>434</v>
      </c>
      <c r="C10" s="2" t="s">
        <v>506</v>
      </c>
      <c r="D10" s="37" t="n">
        <v>10100</v>
      </c>
      <c r="E10" s="26" t="s">
        <v>54</v>
      </c>
      <c r="F10" s="104" t="n">
        <v>0.79</v>
      </c>
      <c r="G10" s="40" t="n">
        <v>0.16</v>
      </c>
      <c r="H10" s="105" t="n">
        <f aca="false">F10/(G10*100)</f>
        <v>0.049375</v>
      </c>
      <c r="I10" s="93" t="s">
        <v>507</v>
      </c>
      <c r="J10" s="21" t="s">
        <v>508</v>
      </c>
    </row>
    <row r="12" customFormat="false" ht="15" hidden="false" customHeight="false" outlineLevel="0" collapsed="false">
      <c r="A12" s="8" t="s">
        <v>509</v>
      </c>
    </row>
    <row r="13" customFormat="false" ht="15" hidden="false" customHeight="false" outlineLevel="0" collapsed="false">
      <c r="A13" s="4" t="s">
        <v>510</v>
      </c>
      <c r="B13" s="106" t="n">
        <f aca="false">MEDIAN(H4:H10)</f>
        <v>0.0928571428571429</v>
      </c>
    </row>
    <row r="14" customFormat="false" ht="15" hidden="false" customHeight="false" outlineLevel="0" collapsed="false">
      <c r="A14" s="2" t="s">
        <v>511</v>
      </c>
      <c r="B14" s="105" t="n">
        <f aca="false">AVERAGE(H4:H10)</f>
        <v>0.101208195542368</v>
      </c>
    </row>
    <row r="15" customFormat="false" ht="15" hidden="false" customHeight="false" outlineLevel="0" collapsed="false">
      <c r="A15" s="2" t="s">
        <v>512</v>
      </c>
      <c r="B15" s="105" t="n">
        <f aca="false">QUARTILE(H4:H10,1)</f>
        <v>0.0871428571428571</v>
      </c>
    </row>
    <row r="16" customFormat="false" ht="15" hidden="false" customHeight="false" outlineLevel="0" collapsed="false">
      <c r="A16" s="2" t="s">
        <v>513</v>
      </c>
      <c r="B16" s="105" t="n">
        <f aca="false">QUARTILE(H4:H10,3)</f>
        <v>0.127219755826859</v>
      </c>
    </row>
    <row r="17" customFormat="false" ht="15" hidden="false" customHeight="false" outlineLevel="0" collapsed="false">
      <c r="A17" s="2" t="s">
        <v>514</v>
      </c>
      <c r="B17" s="105" t="n">
        <f aca="false">MIN(H4:H10)</f>
        <v>0.049375</v>
      </c>
    </row>
    <row r="18" customFormat="false" ht="15" hidden="false" customHeight="false" outlineLevel="0" collapsed="false">
      <c r="A18" s="2" t="s">
        <v>515</v>
      </c>
      <c r="B18" s="105" t="n">
        <f aca="false">MAX(H4:H10)</f>
        <v>0.1375</v>
      </c>
    </row>
    <row r="19" customFormat="false" ht="15" hidden="false" customHeight="false" outlineLevel="0" collapsed="false">
      <c r="A19" s="2" t="s">
        <v>516</v>
      </c>
      <c r="B19" s="63" t="n">
        <f aca="false">MEDIAN(F4:F10)</f>
        <v>1.45</v>
      </c>
    </row>
    <row r="20" customFormat="false" ht="15" hidden="false" customHeight="false" outlineLevel="0" collapsed="false">
      <c r="A20" s="8" t="s">
        <v>517</v>
      </c>
    </row>
    <row r="21" customFormat="false" ht="15" hidden="false" customHeight="false" outlineLevel="0" collapsed="false">
      <c r="A21" s="2" t="s">
        <v>518</v>
      </c>
      <c r="B21" s="19" t="n">
        <f aca="false">DDM!C49</f>
        <v>0.125024848558579</v>
      </c>
    </row>
    <row r="22" customFormat="false" ht="15" hidden="false" customHeight="false" outlineLevel="0" collapsed="false">
      <c r="A22" s="2" t="s">
        <v>519</v>
      </c>
      <c r="B22" s="63" t="n">
        <f aca="false">B13*B21*100</f>
        <v>1.16094502232966</v>
      </c>
    </row>
    <row r="23" customFormat="false" ht="15" hidden="false" customHeight="false" outlineLevel="0" collapsed="false">
      <c r="A23" s="2" t="s">
        <v>520</v>
      </c>
      <c r="B23" s="5" t="n">
        <f aca="false">Data!$B$22</f>
        <v>98.4</v>
      </c>
    </row>
    <row r="24" customFormat="false" ht="15" hidden="false" customHeight="false" outlineLevel="0" collapsed="false">
      <c r="A24" s="4" t="s">
        <v>375</v>
      </c>
      <c r="B24" s="103" t="n">
        <f aca="false">B22*B23</f>
        <v>114.236990197239</v>
      </c>
    </row>
    <row r="25" customFormat="false" ht="15" hidden="false" customHeight="false" outlineLevel="0" collapsed="false">
      <c r="A25" s="2" t="s">
        <v>521</v>
      </c>
      <c r="B25" s="58" t="n">
        <f aca="false">B15*B21*100*B23</f>
        <v>107.207021569716</v>
      </c>
    </row>
    <row r="26" customFormat="false" ht="15" hidden="false" customHeight="false" outlineLevel="0" collapsed="false">
      <c r="A26" s="2" t="s">
        <v>522</v>
      </c>
      <c r="B26" s="58" t="n">
        <f aca="false">B16*B21*100*B23</f>
        <v>156.511406146178</v>
      </c>
    </row>
    <row r="28" customFormat="false" ht="15" hidden="false" customHeight="false" outlineLevel="0" collapsed="false">
      <c r="A28" s="21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44"/>
  </cols>
  <sheetData>
    <row r="1" customFormat="false" ht="16.15" hidden="false" customHeight="false" outlineLevel="0" collapsed="false">
      <c r="B1" s="44" t="s">
        <v>524</v>
      </c>
    </row>
    <row r="3" customFormat="false" ht="15" hidden="false" customHeight="false" outlineLevel="0" collapsed="false">
      <c r="A3" s="22" t="s">
        <v>525</v>
      </c>
      <c r="B3" s="23" t="s">
        <v>526</v>
      </c>
      <c r="C3" s="23" t="s">
        <v>527</v>
      </c>
      <c r="D3" s="23" t="s">
        <v>528</v>
      </c>
    </row>
    <row r="4" customFormat="false" ht="15" hidden="false" customHeight="false" outlineLevel="0" collapsed="false">
      <c r="A4" s="2" t="s">
        <v>21</v>
      </c>
      <c r="B4" s="5" t="n">
        <f aca="false">Sensitivity!E9</f>
        <v>114.731263344526</v>
      </c>
      <c r="C4" s="5" t="n">
        <f aca="false">Sensitivity!E7</f>
        <v>126.929381373789</v>
      </c>
      <c r="D4" s="21" t="s">
        <v>529</v>
      </c>
    </row>
    <row r="5" customFormat="false" ht="15" hidden="false" customHeight="false" outlineLevel="0" collapsed="false">
      <c r="A5" s="2" t="s">
        <v>22</v>
      </c>
      <c r="B5" s="5" t="n">
        <f aca="false">Sensitivity!E19</f>
        <v>111.775184988256</v>
      </c>
      <c r="C5" s="5" t="n">
        <f aca="false">Sensitivity!E17</f>
        <v>123.392910806194</v>
      </c>
      <c r="D5" s="21" t="s">
        <v>530</v>
      </c>
    </row>
    <row r="6" customFormat="false" ht="15" hidden="false" customHeight="false" outlineLevel="0" collapsed="false">
      <c r="A6" s="2" t="s">
        <v>531</v>
      </c>
      <c r="B6" s="5" t="n">
        <f aca="false">Trading_Comps!B33</f>
        <v>91.1317562119889</v>
      </c>
      <c r="C6" s="5" t="n">
        <f aca="false">Trading_Comps!B34</f>
        <v>117.636476893537</v>
      </c>
      <c r="D6" s="21" t="s">
        <v>532</v>
      </c>
    </row>
    <row r="7" customFormat="false" ht="15" hidden="false" customHeight="false" outlineLevel="0" collapsed="false">
      <c r="A7" s="2" t="s">
        <v>533</v>
      </c>
      <c r="B7" s="5" t="n">
        <f aca="false">Precedent_Transactions!B25</f>
        <v>107.207021569716</v>
      </c>
      <c r="C7" s="5" t="n">
        <f aca="false">Precedent_Transactions!B26</f>
        <v>156.511406146178</v>
      </c>
      <c r="D7" s="21" t="s">
        <v>534</v>
      </c>
    </row>
    <row r="8" customFormat="false" ht="15" hidden="false" customHeight="false" outlineLevel="0" collapsed="false">
      <c r="A8" s="2" t="s">
        <v>535</v>
      </c>
      <c r="B8" s="5" t="n">
        <f aca="false">Data!$B$7</f>
        <v>78.83</v>
      </c>
      <c r="C8" s="5" t="n">
        <f aca="false">Data!$B$8</f>
        <v>113.82</v>
      </c>
      <c r="D8" s="21" t="s">
        <v>536</v>
      </c>
    </row>
    <row r="9" customFormat="false" ht="15" hidden="false" customHeight="false" outlineLevel="0" collapsed="false">
      <c r="A9" s="2" t="s">
        <v>537</v>
      </c>
      <c r="B9" s="5" t="n">
        <f aca="false">Data!$B$41</f>
        <v>100</v>
      </c>
      <c r="C9" s="5" t="n">
        <f aca="false">Data!$B$42</f>
        <v>136</v>
      </c>
      <c r="D9" s="21" t="s">
        <v>538</v>
      </c>
    </row>
    <row r="11" customFormat="false" ht="15" hidden="false" customHeight="false" outlineLevel="0" collapsed="false">
      <c r="A11" s="4" t="s">
        <v>539</v>
      </c>
      <c r="B11" s="107" t="n">
        <f aca="false">Data!$B$2</f>
        <v>83.52</v>
      </c>
    </row>
    <row r="12" customFormat="false" ht="15" hidden="false" customHeight="false" outlineLevel="0" collapsed="false">
      <c r="A12" s="4" t="s">
        <v>540</v>
      </c>
      <c r="B12" s="107" t="n">
        <f aca="false">Cover!B16</f>
        <v>112.516506821578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8" t="s">
        <v>541</v>
      </c>
    </row>
    <row r="3" customFormat="false" ht="15" hidden="false" customHeight="false" outlineLevel="0" collapsed="false">
      <c r="A3" s="8" t="s">
        <v>542</v>
      </c>
    </row>
    <row r="4" customFormat="false" ht="15" hidden="false" customHeight="false" outlineLevel="0" collapsed="false">
      <c r="A4" s="8" t="s">
        <v>543</v>
      </c>
      <c r="B4" s="8" t="s">
        <v>526</v>
      </c>
      <c r="C4" s="8" t="s">
        <v>527</v>
      </c>
      <c r="D4" s="8" t="s">
        <v>544</v>
      </c>
      <c r="E4" s="8" t="s">
        <v>545</v>
      </c>
    </row>
    <row r="5" customFormat="false" ht="15" hidden="false" customHeight="false" outlineLevel="0" collapsed="false">
      <c r="A5" s="108" t="str">
        <f aca="false">Football_Field!A4</f>
        <v>Excess-capital DDM</v>
      </c>
      <c r="B5" s="5" t="n">
        <f aca="false">Football_Field!B4</f>
        <v>114.731263344526</v>
      </c>
      <c r="C5" s="5" t="n">
        <f aca="false">Football_Field!C4</f>
        <v>126.929381373789</v>
      </c>
      <c r="D5" s="58" t="n">
        <f aca="false">B5</f>
        <v>114.731263344526</v>
      </c>
      <c r="E5" s="58" t="n">
        <f aca="false">C5-B5</f>
        <v>12.1981180292626</v>
      </c>
    </row>
    <row r="6" customFormat="false" ht="15" hidden="false" customHeight="false" outlineLevel="0" collapsed="false">
      <c r="A6" s="108" t="str">
        <f aca="false">Football_Field!A5</f>
        <v>Gordon justified P/TBV</v>
      </c>
      <c r="B6" s="5" t="n">
        <f aca="false">Football_Field!B5</f>
        <v>111.775184988256</v>
      </c>
      <c r="C6" s="5" t="n">
        <f aca="false">Football_Field!C5</f>
        <v>123.392910806194</v>
      </c>
      <c r="D6" s="58" t="n">
        <f aca="false">B6</f>
        <v>111.775184988256</v>
      </c>
      <c r="E6" s="58" t="n">
        <f aca="false">C6-B6</f>
        <v>11.6177258179373</v>
      </c>
    </row>
    <row r="7" customFormat="false" ht="15" hidden="false" customHeight="false" outlineLevel="0" collapsed="false">
      <c r="A7" s="108" t="str">
        <f aca="false">Football_Field!A6</f>
        <v>Trading comps - P/TBV vs RoTE</v>
      </c>
      <c r="B7" s="5" t="n">
        <f aca="false">Football_Field!B6</f>
        <v>91.1317562119889</v>
      </c>
      <c r="C7" s="5" t="n">
        <f aca="false">Football_Field!C6</f>
        <v>117.636476893537</v>
      </c>
      <c r="D7" s="58" t="n">
        <f aca="false">B7</f>
        <v>91.1317562119889</v>
      </c>
      <c r="E7" s="58" t="n">
        <f aca="false">C7-B7</f>
        <v>26.5047206815478</v>
      </c>
    </row>
    <row r="8" customFormat="false" ht="15" hidden="false" customHeight="false" outlineLevel="0" collapsed="false">
      <c r="A8" s="108" t="str">
        <f aca="false">Football_Field!A7</f>
        <v>Precedent transactions</v>
      </c>
      <c r="B8" s="5" t="n">
        <f aca="false">Football_Field!B7</f>
        <v>107.207021569716</v>
      </c>
      <c r="C8" s="5" t="n">
        <f aca="false">Football_Field!C7</f>
        <v>156.511406146178</v>
      </c>
      <c r="D8" s="58" t="n">
        <f aca="false">B8</f>
        <v>107.207021569716</v>
      </c>
      <c r="E8" s="58" t="n">
        <f aca="false">C8-B8</f>
        <v>49.3043845764621</v>
      </c>
    </row>
    <row r="9" customFormat="false" ht="15" hidden="false" customHeight="false" outlineLevel="0" collapsed="false">
      <c r="A9" s="108" t="str">
        <f aca="false">Football_Field!A8</f>
        <v>2026 trading range</v>
      </c>
      <c r="B9" s="5" t="n">
        <f aca="false">Football_Field!B8</f>
        <v>78.83</v>
      </c>
      <c r="C9" s="5" t="n">
        <f aca="false">Football_Field!C8</f>
        <v>113.82</v>
      </c>
      <c r="D9" s="58" t="n">
        <f aca="false">B9</f>
        <v>78.83</v>
      </c>
      <c r="E9" s="58" t="n">
        <f aca="false">C9-B9</f>
        <v>34.99</v>
      </c>
    </row>
    <row r="10" customFormat="false" ht="15" hidden="false" customHeight="false" outlineLevel="0" collapsed="false">
      <c r="A10" s="108" t="str">
        <f aca="false">Football_Field!A9</f>
        <v>Analyst price targets</v>
      </c>
      <c r="B10" s="5" t="n">
        <f aca="false">Football_Field!B9</f>
        <v>100</v>
      </c>
      <c r="C10" s="5" t="n">
        <f aca="false">Football_Field!C9</f>
        <v>136</v>
      </c>
      <c r="D10" s="58" t="n">
        <f aca="false">B10</f>
        <v>100</v>
      </c>
      <c r="E10" s="58" t="n">
        <f aca="false">C10-B10</f>
        <v>36</v>
      </c>
    </row>
    <row r="12" customFormat="false" ht="15" hidden="false" customHeight="false" outlineLevel="0" collapsed="false">
      <c r="A12" s="8" t="s">
        <v>546</v>
      </c>
    </row>
    <row r="13" customFormat="false" ht="15" hidden="false" customHeight="false" outlineLevel="0" collapsed="false">
      <c r="A13" s="8" t="s">
        <v>547</v>
      </c>
      <c r="B13" s="8" t="s">
        <v>397</v>
      </c>
      <c r="C13" s="8" t="s">
        <v>548</v>
      </c>
    </row>
    <row r="14" customFormat="false" ht="15" hidden="false" customHeight="false" outlineLevel="0" collapsed="false">
      <c r="A14" s="2" t="s">
        <v>549</v>
      </c>
      <c r="B14" s="52" t="n">
        <v>0</v>
      </c>
      <c r="C14" s="16" t="n">
        <f aca="false">Bridge!B4</f>
        <v>4187.4547272</v>
      </c>
    </row>
    <row r="15" customFormat="false" ht="15" hidden="false" customHeight="false" outlineLevel="0" collapsed="false">
      <c r="A15" s="2" t="s">
        <v>550</v>
      </c>
      <c r="B15" s="52" t="n">
        <f aca="false">C14</f>
        <v>4187.4547272</v>
      </c>
      <c r="C15" s="16" t="n">
        <f aca="false">Bridge!B5</f>
        <v>45439.5448006303</v>
      </c>
    </row>
    <row r="16" customFormat="false" ht="15" hidden="false" customHeight="false" outlineLevel="0" collapsed="false">
      <c r="A16" s="2" t="s">
        <v>551</v>
      </c>
      <c r="B16" s="52" t="n">
        <f aca="false">B15+C15</f>
        <v>49626.9995278303</v>
      </c>
      <c r="C16" s="16" t="n">
        <f aca="false">Bridge!B6</f>
        <v>82955.49814801</v>
      </c>
    </row>
    <row r="17" customFormat="false" ht="15" hidden="false" customHeight="false" outlineLevel="0" collapsed="false">
      <c r="A17" s="2" t="s">
        <v>327</v>
      </c>
      <c r="B17" s="52" t="n">
        <v>0</v>
      </c>
      <c r="C17" s="16" t="n">
        <f aca="false">Bridge!B7</f>
        <v>132582.49767584</v>
      </c>
    </row>
    <row r="19" customFormat="false" ht="15" hidden="false" customHeight="false" outlineLevel="0" collapsed="false">
      <c r="A19" s="8" t="s">
        <v>552</v>
      </c>
    </row>
    <row r="20" customFormat="false" ht="15" hidden="false" customHeight="false" outlineLevel="0" collapsed="false">
      <c r="A20" s="8" t="s">
        <v>547</v>
      </c>
      <c r="B20" s="8" t="s">
        <v>397</v>
      </c>
      <c r="C20" s="8" t="s">
        <v>548</v>
      </c>
    </row>
    <row r="21" customFormat="false" ht="15" hidden="false" customHeight="false" outlineLevel="0" collapsed="false">
      <c r="A21" s="2" t="s">
        <v>553</v>
      </c>
      <c r="B21" s="51" t="n">
        <v>0</v>
      </c>
      <c r="C21" s="19" t="n">
        <f aca="false">Cost_of_Equity!B5</f>
        <v>0.0493</v>
      </c>
    </row>
    <row r="22" customFormat="false" ht="15" hidden="false" customHeight="false" outlineLevel="0" collapsed="false">
      <c r="A22" s="2" t="s">
        <v>554</v>
      </c>
      <c r="B22" s="51" t="n">
        <f aca="false">C21</f>
        <v>0.0493</v>
      </c>
      <c r="C22" s="19" t="n">
        <f aca="false">Cost_of_Equity!B8*Cost_of_Equity!B6</f>
        <v>0.0686345</v>
      </c>
    </row>
    <row r="23" customFormat="false" ht="15" hidden="false" customHeight="false" outlineLevel="0" collapsed="false">
      <c r="A23" s="2" t="s">
        <v>555</v>
      </c>
      <c r="B23" s="51" t="n">
        <v>0</v>
      </c>
      <c r="C23" s="19" t="n">
        <f aca="false">Cost_of_Equity!B9</f>
        <v>0.1179345</v>
      </c>
    </row>
    <row r="24" customFormat="false" ht="15" hidden="false" customHeight="false" outlineLevel="0" collapsed="false">
      <c r="A24" s="2" t="s">
        <v>556</v>
      </c>
      <c r="B24" s="51" t="n">
        <v>0</v>
      </c>
      <c r="C24" s="19" t="n">
        <f aca="false">Cost_of_Equity!B14</f>
        <v>0.159420550933767</v>
      </c>
    </row>
    <row r="26" customFormat="false" ht="15" hidden="false" customHeight="false" outlineLevel="0" collapsed="false">
      <c r="A26" s="8" t="s">
        <v>557</v>
      </c>
    </row>
    <row r="27" customFormat="false" ht="15" hidden="false" customHeight="false" outlineLevel="0" collapsed="false">
      <c r="A27" s="8" t="s">
        <v>543</v>
      </c>
      <c r="B27" s="8" t="s">
        <v>558</v>
      </c>
    </row>
    <row r="28" customFormat="false" ht="15" hidden="false" customHeight="false" outlineLevel="0" collapsed="false">
      <c r="A28" s="2" t="s">
        <v>21</v>
      </c>
      <c r="B28" s="5" t="n">
        <f aca="false">Bridge!B9</f>
        <v>120.518587106481</v>
      </c>
    </row>
    <row r="29" customFormat="false" ht="15" hidden="false" customHeight="false" outlineLevel="0" collapsed="false">
      <c r="A29" s="2" t="s">
        <v>373</v>
      </c>
      <c r="B29" s="5" t="n">
        <f aca="false">Bridge!C9</f>
        <v>117.287479123761</v>
      </c>
    </row>
    <row r="30" customFormat="false" ht="15" hidden="false" customHeight="false" outlineLevel="0" collapsed="false">
      <c r="A30" s="2" t="s">
        <v>559</v>
      </c>
      <c r="B30" s="5" t="n">
        <f aca="false">Trading_Comps!B32</f>
        <v>102.655547812662</v>
      </c>
    </row>
    <row r="31" customFormat="false" ht="15" hidden="false" customHeight="false" outlineLevel="0" collapsed="false">
      <c r="A31" s="2" t="s">
        <v>560</v>
      </c>
      <c r="B31" s="5" t="n">
        <f aca="false">Precedent_Transactions!B24</f>
        <v>114.236990197239</v>
      </c>
    </row>
    <row r="32" customFormat="false" ht="15" hidden="false" customHeight="false" outlineLevel="0" collapsed="false">
      <c r="A32" s="2" t="s">
        <v>561</v>
      </c>
      <c r="B32" s="5" t="n">
        <f aca="false">Cover!B16</f>
        <v>112.516506821578</v>
      </c>
    </row>
    <row r="33" customFormat="false" ht="15" hidden="false" customHeight="false" outlineLevel="0" collapsed="false">
      <c r="A33" s="2" t="s">
        <v>562</v>
      </c>
      <c r="B33" s="5" t="n">
        <f aca="false">Data!$B$40</f>
        <v>118.06</v>
      </c>
    </row>
    <row r="34" customFormat="false" ht="15" hidden="false" customHeight="false" outlineLevel="0" collapsed="false">
      <c r="A34" s="2" t="s">
        <v>563</v>
      </c>
      <c r="B34" s="5" t="n">
        <f aca="false">Data!$B$2</f>
        <v>83.52</v>
      </c>
    </row>
    <row r="36" customFormat="false" ht="15" hidden="false" customHeight="false" outlineLevel="0" collapsed="false">
      <c r="A36" s="8" t="s">
        <v>564</v>
      </c>
    </row>
    <row r="37" customFormat="false" ht="15" hidden="false" customHeight="false" outlineLevel="0" collapsed="false">
      <c r="A37" s="8" t="s">
        <v>565</v>
      </c>
      <c r="B37" s="8" t="s">
        <v>224</v>
      </c>
      <c r="C37" s="8" t="s">
        <v>225</v>
      </c>
      <c r="D37" s="8" t="s">
        <v>155</v>
      </c>
      <c r="E37" s="8" t="s">
        <v>156</v>
      </c>
      <c r="F37" s="8" t="s">
        <v>157</v>
      </c>
      <c r="G37" s="8" t="s">
        <v>158</v>
      </c>
      <c r="H37" s="8" t="s">
        <v>159</v>
      </c>
      <c r="I37" s="8" t="s">
        <v>160</v>
      </c>
    </row>
    <row r="38" customFormat="false" ht="15" hidden="false" customHeight="false" outlineLevel="0" collapsed="false">
      <c r="A38" s="2" t="s">
        <v>285</v>
      </c>
      <c r="B38" s="16" t="n">
        <f aca="false">Income_Statement!B27</f>
        <v>26050</v>
      </c>
      <c r="C38" s="16" t="n">
        <f aca="false">Income_Statement!C27</f>
        <v>26717</v>
      </c>
      <c r="D38" s="16" t="n">
        <f aca="false">DDM!C5</f>
        <v>27731.97</v>
      </c>
      <c r="E38" s="16" t="n">
        <f aca="false">DDM!D5</f>
        <v>28979.90865</v>
      </c>
      <c r="F38" s="16" t="n">
        <f aca="false">DDM!E5</f>
        <v>30284.00453925</v>
      </c>
      <c r="G38" s="16" t="n">
        <f aca="false">DDM!F5</f>
        <v>31495.36472082</v>
      </c>
      <c r="H38" s="16" t="n">
        <f aca="false">DDM!G5</f>
        <v>32597.7024860487</v>
      </c>
      <c r="I38" s="16" t="n">
        <f aca="false">DDM!H5</f>
        <v>33738.6220730604</v>
      </c>
    </row>
    <row r="39" customFormat="false" ht="15" hidden="false" customHeight="false" outlineLevel="0" collapsed="false">
      <c r="A39" s="2" t="s">
        <v>286</v>
      </c>
      <c r="B39" s="16" t="n">
        <f aca="false">Income_Statement!B28</f>
        <v>5793</v>
      </c>
      <c r="C39" s="16" t="n">
        <f aca="false">Income_Statement!C28</f>
        <v>6929</v>
      </c>
      <c r="D39" s="16" t="n">
        <f aca="false">DDM!C6</f>
        <v>7844</v>
      </c>
      <c r="E39" s="16" t="n">
        <f aca="false">DDM!D6</f>
        <v>8314.64</v>
      </c>
      <c r="F39" s="16" t="n">
        <f aca="false">DDM!E6</f>
        <v>8813.5184</v>
      </c>
      <c r="G39" s="16" t="n">
        <f aca="false">DDM!F6</f>
        <v>9254.19432</v>
      </c>
      <c r="H39" s="16" t="n">
        <f aca="false">DDM!G6</f>
        <v>9716.904036</v>
      </c>
      <c r="I39" s="16" t="n">
        <f aca="false">DDM!H6</f>
        <v>10154.16471762</v>
      </c>
    </row>
    <row r="40" customFormat="false" ht="15" hidden="false" customHeight="false" outlineLevel="0" collapsed="false">
      <c r="A40" s="2" t="s">
        <v>287</v>
      </c>
      <c r="B40" s="16" t="n">
        <f aca="false">Income_Statement!B29</f>
        <v>17993</v>
      </c>
      <c r="C40" s="16" t="n">
        <f aca="false">Income_Statement!C29</f>
        <v>18997</v>
      </c>
      <c r="D40" s="16" t="n">
        <f aca="false">DDM!C7</f>
        <v>19995.6</v>
      </c>
      <c r="E40" s="16" t="n">
        <f aca="false">DDM!D7</f>
        <v>20795.424</v>
      </c>
      <c r="F40" s="16" t="n">
        <f aca="false">DDM!E7</f>
        <v>21627.24096</v>
      </c>
      <c r="G40" s="16" t="n">
        <f aca="false">DDM!F7</f>
        <v>22492.3305984</v>
      </c>
      <c r="H40" s="16" t="n">
        <f aca="false">DDM!G7</f>
        <v>23279.562169344</v>
      </c>
      <c r="I40" s="16" t="n">
        <f aca="false">DDM!H7</f>
        <v>24094.346845271</v>
      </c>
    </row>
    <row r="41" customFormat="false" ht="15" hidden="false" customHeight="false" outlineLevel="0" collapsed="false">
      <c r="A41" s="2" t="s">
        <v>288</v>
      </c>
      <c r="B41" s="16" t="n">
        <f aca="false">Income_Statement!B30</f>
        <v>-1005</v>
      </c>
      <c r="C41" s="16" t="n">
        <f aca="false">Income_Statement!C30</f>
        <v>-1420</v>
      </c>
      <c r="D41" s="16" t="n">
        <f aca="false">DDM!C8</f>
        <v>-546</v>
      </c>
      <c r="E41" s="16" t="n">
        <f aca="false">DDM!D8</f>
        <v>-500</v>
      </c>
      <c r="F41" s="16" t="n">
        <f aca="false">DDM!E8</f>
        <v>-500</v>
      </c>
      <c r="G41" s="16" t="n">
        <f aca="false">DDM!F8</f>
        <v>-500</v>
      </c>
      <c r="H41" s="16" t="n">
        <f aca="false">DDM!G8</f>
        <v>-500</v>
      </c>
      <c r="I41" s="16" t="n">
        <f aca="false">DDM!H8</f>
        <v>-500</v>
      </c>
    </row>
    <row r="42" customFormat="false" ht="15" hidden="false" customHeight="false" outlineLevel="0" collapsed="false">
      <c r="A42" s="4" t="s">
        <v>566</v>
      </c>
      <c r="B42" s="109" t="n">
        <f aca="false">SUM(B38:B41)</f>
        <v>48831</v>
      </c>
      <c r="C42" s="109" t="n">
        <f aca="false">SUM(C38:C41)</f>
        <v>51223</v>
      </c>
      <c r="D42" s="109" t="n">
        <f aca="false">SUM(D38:D41)</f>
        <v>55025.57</v>
      </c>
      <c r="E42" s="109" t="n">
        <f aca="false">SUM(E38:E41)</f>
        <v>57589.97265</v>
      </c>
      <c r="F42" s="109" t="n">
        <f aca="false">SUM(F38:F41)</f>
        <v>60224.76389925</v>
      </c>
      <c r="G42" s="109" t="n">
        <f aca="false">SUM(G38:G41)</f>
        <v>62741.88963922</v>
      </c>
      <c r="H42" s="109" t="n">
        <f aca="false">SUM(H38:H41)</f>
        <v>65094.1686913927</v>
      </c>
      <c r="I42" s="109" t="n">
        <f aca="false">SUM(I38:I41)</f>
        <v>67487.1336359514</v>
      </c>
    </row>
    <row r="44" customFormat="false" ht="15" hidden="false" customHeight="false" outlineLevel="0" collapsed="false">
      <c r="A44" s="8" t="s">
        <v>567</v>
      </c>
    </row>
    <row r="45" customFormat="false" ht="15" hidden="false" customHeight="false" outlineLevel="0" collapsed="false">
      <c r="A45" s="8" t="s">
        <v>568</v>
      </c>
      <c r="B45" s="8" t="s">
        <v>569</v>
      </c>
      <c r="C45" s="8" t="s">
        <v>282</v>
      </c>
    </row>
    <row r="46" customFormat="false" ht="15" hidden="false" customHeight="false" outlineLevel="0" collapsed="false">
      <c r="A46" s="2" t="s">
        <v>224</v>
      </c>
      <c r="B46" s="16" t="n">
        <f aca="false">Income_Statement!B14</f>
        <v>11688</v>
      </c>
      <c r="C46" s="19" t="n">
        <f aca="false">Data!$B$25</f>
        <v>0.109</v>
      </c>
    </row>
    <row r="47" customFormat="false" ht="15" hidden="false" customHeight="false" outlineLevel="0" collapsed="false">
      <c r="A47" s="2" t="s">
        <v>225</v>
      </c>
      <c r="B47" s="16" t="n">
        <f aca="false">Income_Statement!C14</f>
        <v>12225</v>
      </c>
      <c r="C47" s="19" t="n">
        <f aca="false">Data!$B$26</f>
        <v>0.116</v>
      </c>
    </row>
    <row r="48" customFormat="false" ht="15" hidden="false" customHeight="false" outlineLevel="0" collapsed="false">
      <c r="A48" s="2" t="s">
        <v>155</v>
      </c>
      <c r="B48" s="16" t="n">
        <f aca="false">DDM!C26</f>
        <v>13831.296212</v>
      </c>
      <c r="C48" s="19" t="n">
        <f aca="false">DDM!C49</f>
        <v>0.125024848558579</v>
      </c>
    </row>
    <row r="49" customFormat="false" ht="15" hidden="false" customHeight="false" outlineLevel="0" collapsed="false">
      <c r="A49" s="2" t="s">
        <v>156</v>
      </c>
      <c r="B49" s="16" t="n">
        <f aca="false">DDM!D26</f>
        <v>14657.456671925</v>
      </c>
      <c r="C49" s="19" t="n">
        <f aca="false">DDM!D49</f>
        <v>0.126776113871586</v>
      </c>
    </row>
    <row r="50" customFormat="false" ht="15" hidden="false" customHeight="false" outlineLevel="0" collapsed="false">
      <c r="A50" s="2" t="s">
        <v>157</v>
      </c>
      <c r="B50" s="16" t="n">
        <f aca="false">DDM!E26</f>
        <v>16194.9440114997</v>
      </c>
      <c r="C50" s="19" t="n">
        <f aca="false">DDM!E49</f>
        <v>0.136681246107614</v>
      </c>
    </row>
    <row r="51" customFormat="false" ht="15" hidden="false" customHeight="false" outlineLevel="0" collapsed="false">
      <c r="A51" s="2" t="s">
        <v>158</v>
      </c>
      <c r="B51" s="16" t="n">
        <f aca="false">DDM!F26</f>
        <v>17327.8480609739</v>
      </c>
      <c r="C51" s="19" t="n">
        <f aca="false">DDM!F49</f>
        <v>0.142672104494993</v>
      </c>
    </row>
    <row r="52" customFormat="false" ht="15" hidden="false" customHeight="false" outlineLevel="0" collapsed="false">
      <c r="A52" s="2" t="s">
        <v>159</v>
      </c>
      <c r="B52" s="16" t="n">
        <f aca="false">DDM!G26</f>
        <v>18343.7916554941</v>
      </c>
      <c r="C52" s="19" t="n">
        <f aca="false">DDM!G49</f>
        <v>0.147219751268984</v>
      </c>
    </row>
    <row r="53" customFormat="false" ht="15" hidden="false" customHeight="false" outlineLevel="0" collapsed="false">
      <c r="A53" s="2" t="s">
        <v>160</v>
      </c>
      <c r="B53" s="16" t="n">
        <f aca="false">DDM!H26</f>
        <v>19247.3572229632</v>
      </c>
      <c r="C53" s="19" t="n">
        <f aca="false">DDM!H49</f>
        <v>0.150466731061784</v>
      </c>
    </row>
    <row r="55" customFormat="false" ht="15" hidden="false" customHeight="false" outlineLevel="0" collapsed="false">
      <c r="A55" s="8" t="s">
        <v>570</v>
      </c>
    </row>
    <row r="56" customFormat="false" ht="15" hidden="false" customHeight="false" outlineLevel="0" collapsed="false">
      <c r="A56" s="8" t="s">
        <v>401</v>
      </c>
      <c r="B56" s="8" t="s">
        <v>406</v>
      </c>
      <c r="C56" s="8" t="s">
        <v>282</v>
      </c>
    </row>
    <row r="57" customFormat="false" ht="15" hidden="false" customHeight="false" outlineLevel="0" collapsed="false">
      <c r="A57" s="108" t="str">
        <f aca="false">Trading_Comps!A4</f>
        <v>Societe Generale</v>
      </c>
      <c r="B57" s="17" t="n">
        <f aca="false">Trading_Comps!G4</f>
        <v>0.842953020134228</v>
      </c>
      <c r="C57" s="19" t="n">
        <f aca="false">Trading_Comps!H4</f>
        <v>0.11</v>
      </c>
    </row>
    <row r="58" customFormat="false" ht="15" hidden="false" customHeight="false" outlineLevel="0" collapsed="false">
      <c r="A58" s="108" t="str">
        <f aca="false">Trading_Comps!A5</f>
        <v>Deutsche Bank</v>
      </c>
      <c r="B58" s="17" t="n">
        <f aca="false">Trading_Comps!G5</f>
        <v>0.957051282051282</v>
      </c>
      <c r="C58" s="19" t="n">
        <f aca="false">Trading_Comps!H5</f>
        <v>0.119</v>
      </c>
    </row>
    <row r="59" customFormat="false" ht="15" hidden="false" customHeight="false" outlineLevel="0" collapsed="false">
      <c r="A59" s="108" t="str">
        <f aca="false">Trading_Comps!A6</f>
        <v>Commerzbank</v>
      </c>
      <c r="B59" s="17" t="n">
        <f aca="false">Trading_Comps!G6</f>
        <v>1.2218992248062</v>
      </c>
      <c r="C59" s="19" t="n">
        <f aca="false">Trading_Comps!H6</f>
        <v>0.127</v>
      </c>
    </row>
    <row r="60" customFormat="false" ht="15" hidden="false" customHeight="false" outlineLevel="0" collapsed="false">
      <c r="A60" s="108" t="str">
        <f aca="false">Trading_Comps!A7</f>
        <v>Santander</v>
      </c>
      <c r="B60" s="17" t="n">
        <f aca="false">Trading_Comps!G7</f>
        <v>1.98662316476346</v>
      </c>
      <c r="C60" s="19" t="n">
        <f aca="false">Trading_Comps!H7</f>
        <v>0.156</v>
      </c>
    </row>
    <row r="61" customFormat="false" ht="15" hidden="false" customHeight="false" outlineLevel="0" collapsed="false">
      <c r="A61" s="108" t="str">
        <f aca="false">Trading_Comps!A8</f>
        <v>BBVA</v>
      </c>
      <c r="B61" s="17" t="n">
        <f aca="false">Trading_Comps!G8</f>
        <v>2.2396449704142</v>
      </c>
      <c r="C61" s="19" t="n">
        <f aca="false">Trading_Comps!H8</f>
        <v>0.222</v>
      </c>
    </row>
    <row r="62" customFormat="false" ht="15" hidden="false" customHeight="false" outlineLevel="0" collapsed="false">
      <c r="A62" s="108" t="str">
        <f aca="false">Trading_Comps!A9</f>
        <v>UniCredit</v>
      </c>
      <c r="B62" s="17" t="n">
        <f aca="false">Trading_Comps!G9</f>
        <v>1.61244343891403</v>
      </c>
      <c r="C62" s="19" t="n">
        <f aca="false">Trading_Comps!H9</f>
        <v>0.237</v>
      </c>
    </row>
    <row r="63" customFormat="false" ht="15" hidden="false" customHeight="false" outlineLevel="0" collapsed="false">
      <c r="A63" s="108" t="str">
        <f aca="false">Trading_Comps!A10</f>
        <v>Intesa Sanpaolo</v>
      </c>
      <c r="B63" s="17" t="n">
        <f aca="false">Trading_Comps!G10</f>
        <v>1.9792899408284</v>
      </c>
      <c r="C63" s="19" t="n">
        <f aca="false">Trading_Comps!H10</f>
        <v>0.25</v>
      </c>
    </row>
    <row r="64" customFormat="false" ht="15" hidden="false" customHeight="false" outlineLevel="0" collapsed="false">
      <c r="A64" s="108" t="str">
        <f aca="false">Trading_Comps!A12</f>
        <v>BNP Paribas</v>
      </c>
      <c r="B64" s="17" t="n">
        <f aca="false">Trading_Comps!G12</f>
        <v>0.848780487804878</v>
      </c>
      <c r="C64" s="19" t="n">
        <f aca="false">Trading_Comps!H12</f>
        <v>0.125024848558579</v>
      </c>
    </row>
    <row r="66" customFormat="false" ht="15" hidden="false" customHeight="false" outlineLevel="0" collapsed="false">
      <c r="A66" s="8" t="s">
        <v>571</v>
      </c>
    </row>
    <row r="67" customFormat="false" ht="15" hidden="false" customHeight="false" outlineLevel="0" collapsed="false">
      <c r="A67" s="8" t="s">
        <v>572</v>
      </c>
      <c r="B67" s="8" t="s">
        <v>406</v>
      </c>
      <c r="C67" s="8" t="s">
        <v>573</v>
      </c>
    </row>
    <row r="68" customFormat="false" ht="15" hidden="false" customHeight="false" outlineLevel="0" collapsed="false">
      <c r="A68" s="108" t="str">
        <f aca="false">Precedent_Transactions!B4&amp;" / "&amp;Precedent_Transactions!C4</f>
        <v>Santander / Webster Financial</v>
      </c>
      <c r="B68" s="17" t="n">
        <f aca="false">Precedent_Transactions!F4</f>
        <v>2</v>
      </c>
      <c r="C68" s="110" t="n">
        <f aca="false">Precedent_Transactions!H4</f>
        <v>0.117647058823529</v>
      </c>
    </row>
    <row r="69" customFormat="false" ht="15" hidden="false" customHeight="false" outlineLevel="0" collapsed="false">
      <c r="A69" s="108" t="str">
        <f aca="false">Precedent_Transactions!B5&amp;" / "&amp;Precedent_Transactions!C5</f>
        <v>UniCredit / Commerzbank (offer)</v>
      </c>
      <c r="B69" s="17" t="n">
        <f aca="false">Precedent_Transactions!F5</f>
        <v>1</v>
      </c>
      <c r="C69" s="110" t="n">
        <f aca="false">Precedent_Transactions!H5</f>
        <v>0.0892857142857143</v>
      </c>
    </row>
    <row r="70" customFormat="false" ht="15" hidden="false" customHeight="false" outlineLevel="0" collapsed="false">
      <c r="A70" s="108" t="str">
        <f aca="false">Precedent_Transactions!B6&amp;" / "&amp;Precedent_Transactions!C6</f>
        <v>Santander / TSB</v>
      </c>
      <c r="B70" s="17" t="n">
        <f aca="false">Precedent_Transactions!F6</f>
        <v>1.45</v>
      </c>
      <c r="C70" s="110" t="n">
        <f aca="false">Precedent_Transactions!H6</f>
        <v>0.136792452830189</v>
      </c>
    </row>
    <row r="71" customFormat="false" ht="15" hidden="false" customHeight="false" outlineLevel="0" collapsed="false">
      <c r="A71" s="108" t="str">
        <f aca="false">Precedent_Transactions!B7&amp;" / "&amp;Precedent_Transactions!C7</f>
        <v>BPCE / Novo Banco</v>
      </c>
      <c r="B71" s="17" t="n">
        <f aca="false">Precedent_Transactions!F7</f>
        <v>1.7</v>
      </c>
      <c r="C71" s="110" t="n">
        <f aca="false">Precedent_Transactions!H7</f>
        <v>0.085</v>
      </c>
    </row>
    <row r="72" customFormat="false" ht="15" hidden="false" customHeight="false" outlineLevel="0" collapsed="false">
      <c r="A72" s="108" t="str">
        <f aca="false">Precedent_Transactions!B8&amp;" / "&amp;Precedent_Transactions!C8</f>
        <v>Erste Group / Santander Bank Polska (49%)</v>
      </c>
      <c r="B72" s="17" t="n">
        <f aca="false">Precedent_Transactions!F8</f>
        <v>2.2</v>
      </c>
      <c r="C72" s="110" t="n">
        <f aca="false">Precedent_Transactions!H8</f>
        <v>0.1375</v>
      </c>
    </row>
    <row r="73" customFormat="false" ht="15" hidden="false" customHeight="false" outlineLevel="0" collapsed="false">
      <c r="A73" s="108" t="str">
        <f aca="false">Precedent_Transactions!B9&amp;" / "&amp;Precedent_Transactions!C9</f>
        <v>Monte dei Paschi / Mediobanca</v>
      </c>
      <c r="B73" s="17" t="n">
        <f aca="false">Precedent_Transactions!F9</f>
        <v>1.3</v>
      </c>
      <c r="C73" s="110" t="n">
        <f aca="false">Precedent_Transactions!H9</f>
        <v>0.0928571428571429</v>
      </c>
    </row>
    <row r="74" customFormat="false" ht="15" hidden="false" customHeight="false" outlineLevel="0" collapsed="false">
      <c r="A74" s="108" t="str">
        <f aca="false">Precedent_Transactions!B10&amp;" / "&amp;Precedent_Transactions!C10</f>
        <v>UniCredit / Banco BPM (withdrawn)</v>
      </c>
      <c r="B74" s="17" t="n">
        <f aca="false">Precedent_Transactions!F10</f>
        <v>0.79</v>
      </c>
      <c r="C74" s="110" t="n">
        <f aca="false">Precedent_Transactions!H10</f>
        <v>0.049375</v>
      </c>
    </row>
    <row r="76" customFormat="false" ht="15" hidden="false" customHeight="false" outlineLevel="0" collapsed="false">
      <c r="A76" s="8" t="s">
        <v>574</v>
      </c>
    </row>
    <row r="77" customFormat="false" ht="15" hidden="false" customHeight="false" outlineLevel="0" collapsed="false">
      <c r="A77" s="8" t="s">
        <v>568</v>
      </c>
      <c r="B77" s="8" t="s">
        <v>575</v>
      </c>
      <c r="C77" s="8" t="s">
        <v>576</v>
      </c>
    </row>
    <row r="78" customFormat="false" ht="15" hidden="false" customHeight="false" outlineLevel="0" collapsed="false">
      <c r="A78" s="2" t="s">
        <v>155</v>
      </c>
      <c r="B78" s="16" t="n">
        <f aca="false">DDM!C34</f>
        <v>7740.7777272</v>
      </c>
      <c r="C78" s="19" t="n">
        <f aca="false">DDM!C35</f>
        <v>0.6</v>
      </c>
    </row>
    <row r="79" customFormat="false" ht="15" hidden="false" customHeight="false" outlineLevel="0" collapsed="false">
      <c r="A79" s="2" t="s">
        <v>156</v>
      </c>
      <c r="B79" s="16" t="n">
        <f aca="false">DDM!D34</f>
        <v>10090.206671925</v>
      </c>
      <c r="C79" s="19" t="n">
        <f aca="false">DDM!D35</f>
        <v>0.736110783599362</v>
      </c>
    </row>
    <row r="80" customFormat="false" ht="15" hidden="false" customHeight="false" outlineLevel="0" collapsed="false">
      <c r="A80" s="2" t="s">
        <v>157</v>
      </c>
      <c r="B80" s="16" t="n">
        <f aca="false">DDM!E34</f>
        <v>12035.9265114997</v>
      </c>
      <c r="C80" s="19" t="n">
        <f aca="false">DDM!E35</f>
        <v>0.789502834672312</v>
      </c>
    </row>
    <row r="81" customFormat="false" ht="15" hidden="false" customHeight="false" outlineLevel="0" collapsed="false">
      <c r="A81" s="2" t="s">
        <v>158</v>
      </c>
      <c r="B81" s="16" t="n">
        <f aca="false">DDM!F34</f>
        <v>13072.5600359739</v>
      </c>
      <c r="C81" s="19" t="n">
        <f aca="false">DDM!F35</f>
        <v>0.798185450695684</v>
      </c>
    </row>
    <row r="82" customFormat="false" ht="15" hidden="false" customHeight="false" outlineLevel="0" collapsed="false">
      <c r="A82" s="2" t="s">
        <v>159</v>
      </c>
      <c r="B82" s="16" t="n">
        <f aca="false">DDM!G34</f>
        <v>13989.3449897441</v>
      </c>
      <c r="C82" s="19" t="n">
        <f aca="false">DDM!G35</f>
        <v>0.804272309731003</v>
      </c>
    </row>
    <row r="83" customFormat="false" ht="15" hidden="false" customHeight="false" outlineLevel="0" collapsed="false">
      <c r="A83" s="2" t="s">
        <v>160</v>
      </c>
      <c r="B83" s="16" t="n">
        <f aca="false">DDM!H34</f>
        <v>14790.7771572407</v>
      </c>
      <c r="C83" s="19" t="n">
        <f aca="false">DDM!H35</f>
        <v>0.808355926870043</v>
      </c>
    </row>
    <row r="85" customFormat="false" ht="15" hidden="false" customHeight="false" outlineLevel="0" collapsed="false">
      <c r="A85" s="8" t="s">
        <v>577</v>
      </c>
    </row>
    <row r="86" customFormat="false" ht="15" hidden="false" customHeight="false" outlineLevel="0" collapsed="false">
      <c r="A86" s="8" t="s">
        <v>568</v>
      </c>
      <c r="B86" s="8" t="s">
        <v>578</v>
      </c>
      <c r="C86" s="8" t="s">
        <v>579</v>
      </c>
    </row>
    <row r="87" customFormat="false" ht="15" hidden="false" customHeight="false" outlineLevel="0" collapsed="false">
      <c r="A87" s="2" t="s">
        <v>155</v>
      </c>
      <c r="B87" s="5" t="n">
        <f aca="false">DDM!C39</f>
        <v>11.7279180146357</v>
      </c>
      <c r="C87" s="5" t="n">
        <f aca="false">Income_Statement!B50</f>
        <v>11.89</v>
      </c>
    </row>
    <row r="88" customFormat="false" ht="15" hidden="false" customHeight="false" outlineLevel="0" collapsed="false">
      <c r="A88" s="2" t="s">
        <v>156</v>
      </c>
      <c r="B88" s="5" t="n">
        <f aca="false">DDM!D39</f>
        <v>12.5499044259723</v>
      </c>
      <c r="C88" s="5" t="n">
        <f aca="false">Income_Statement!C50</f>
        <v>12.87</v>
      </c>
    </row>
    <row r="89" customFormat="false" ht="15" hidden="false" customHeight="false" outlineLevel="0" collapsed="false">
      <c r="A89" s="2" t="s">
        <v>157</v>
      </c>
      <c r="B89" s="5" t="n">
        <f aca="false">DDM!E39</f>
        <v>14.3069025173801</v>
      </c>
      <c r="C89" s="5" t="n">
        <f aca="false">Income_Statement!D50</f>
        <v>14.38</v>
      </c>
    </row>
    <row r="90" customFormat="false" ht="15" hidden="false" customHeight="false" outlineLevel="0" collapsed="false">
      <c r="A90" s="2" t="s">
        <v>158</v>
      </c>
      <c r="B90" s="5" t="n">
        <f aca="false">DDM!F39</f>
        <v>16.0142316590378</v>
      </c>
      <c r="C90" s="5" t="n">
        <f aca="false">Income_Statement!E50</f>
        <v>15.98</v>
      </c>
    </row>
    <row r="92" customFormat="false" ht="15" hidden="false" customHeight="false" outlineLevel="0" collapsed="false">
      <c r="A92" s="8" t="s">
        <v>580</v>
      </c>
    </row>
    <row r="93" customFormat="false" ht="15" hidden="false" customHeight="false" outlineLevel="0" collapsed="false">
      <c r="A93" s="8" t="s">
        <v>568</v>
      </c>
      <c r="B93" s="8" t="s">
        <v>581</v>
      </c>
      <c r="C93" s="8" t="s">
        <v>582</v>
      </c>
    </row>
    <row r="94" customFormat="false" ht="15" hidden="false" customHeight="false" outlineLevel="0" collapsed="false">
      <c r="A94" s="2" t="s">
        <v>155</v>
      </c>
      <c r="B94" s="5" t="n">
        <f aca="false">DDM!C48</f>
        <v>96.6409539903645</v>
      </c>
      <c r="C94" s="5" t="n">
        <f aca="false">DDM!C41</f>
        <v>5.86369248795564</v>
      </c>
    </row>
    <row r="95" customFormat="false" ht="15" hidden="false" customHeight="false" outlineLevel="0" collapsed="false">
      <c r="A95" s="2" t="s">
        <v>156</v>
      </c>
      <c r="B95" s="5" t="n">
        <f aca="false">DDM!D48</f>
        <v>101.378471058801</v>
      </c>
      <c r="C95" s="5" t="n">
        <f aca="false">DDM!D41</f>
        <v>6.32045928887945</v>
      </c>
    </row>
    <row r="96" customFormat="false" ht="15" hidden="false" customHeight="false" outlineLevel="0" collapsed="false">
      <c r="A96" s="2" t="s">
        <v>157</v>
      </c>
      <c r="B96" s="5" t="n">
        <f aca="false">DDM!E48</f>
        <v>108.086898564278</v>
      </c>
      <c r="C96" s="5" t="n">
        <f aca="false">DDM!E41</f>
        <v>7.28197114187319</v>
      </c>
    </row>
    <row r="97" customFormat="false" ht="15" hidden="false" customHeight="false" outlineLevel="0" collapsed="false">
      <c r="A97" s="2" t="s">
        <v>158</v>
      </c>
      <c r="B97" s="5" t="n">
        <f aca="false">DDM!F48</f>
        <v>116.60342459883</v>
      </c>
      <c r="C97" s="5" t="n">
        <f aca="false">DDM!F41</f>
        <v>8.19997578156899</v>
      </c>
    </row>
    <row r="98" customFormat="false" ht="15" hidden="false" customHeight="false" outlineLevel="0" collapsed="false">
      <c r="A98" s="2" t="s">
        <v>159</v>
      </c>
      <c r="B98" s="5" t="n">
        <f aca="false">DDM!G48</f>
        <v>126.25061610398</v>
      </c>
      <c r="C98" s="5" t="n">
        <f aca="false">DDM!G41</f>
        <v>9.16130079204182</v>
      </c>
    </row>
    <row r="99" customFormat="false" ht="15" hidden="false" customHeight="false" outlineLevel="0" collapsed="false">
      <c r="A99" s="2" t="s">
        <v>160</v>
      </c>
      <c r="B99" s="5" t="n">
        <f aca="false">DDM!H48</f>
        <v>137.075961722605</v>
      </c>
      <c r="C99" s="5" t="n">
        <f aca="false">DDM!H41</f>
        <v>10.1661106594791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2026-10-27T18:20:21Z</dcterms:created>
  <dc:creator>openpyxl</dc:creator>
  <dc:description/>
  <dc:language>en-US</dc:language>
  <cp:lastModifiedBy/>
  <dcterms:modified xsi:type="dcterms:W3CDTF">2026-10-27T19:20:23Z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